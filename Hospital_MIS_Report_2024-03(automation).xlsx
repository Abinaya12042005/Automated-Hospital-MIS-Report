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dical_Condition" sheetId="2" r:id="rId2"/>
    <sheet name="Admission_Type" sheetId="3" r:id="rId3"/>
    <sheet name="Insurance" sheetId="4" r:id="rId4"/>
    <sheet name="Age_Group" sheetId="5" r:id="rId5"/>
    <sheet name="Medication" sheetId="6" r:id="rId6"/>
    <sheet name="Abnormal_by_Condition" sheetId="7" r:id="rId7"/>
    <sheet name="Monthly_Trend" sheetId="8" r:id="rId8"/>
    <sheet name="Data_Quality" sheetId="9" r:id="rId9"/>
    <sheet name="Clean_Data_CurrentMonth" sheetId="10" r:id="rId10"/>
    <sheet name="Validation" sheetId="11" r:id="rId11"/>
  </sheets>
  <definedNames>
    <definedName name="_xlnm._FilterDatabase" localSheetId="9" hidden="1">Clean_Data_CurrentMonth!$A$1:$Q$901</definedName>
  </definedNames>
  <calcPr calcId="124519" fullCalcOnLoad="1"/>
</workbook>
</file>

<file path=xl/sharedStrings.xml><?xml version="1.0" encoding="utf-8"?>
<sst xmlns="http://schemas.openxmlformats.org/spreadsheetml/2006/main" count="10119" uniqueCount="1754">
  <si>
    <t>KPI</t>
  </si>
  <si>
    <t>Current Month</t>
  </si>
  <si>
    <t>Previous Month</t>
  </si>
  <si>
    <t>MoM Change</t>
  </si>
  <si>
    <t>Change Unit</t>
  </si>
  <si>
    <t>Total Admissions</t>
  </si>
  <si>
    <t>Total Billing</t>
  </si>
  <si>
    <t>Avg Billing per Admission</t>
  </si>
  <si>
    <t>Avg Length of Stay (days)</t>
  </si>
  <si>
    <t>Emergency Admissions %</t>
  </si>
  <si>
    <t>Abnormal Test Results %</t>
  </si>
  <si>
    <t>%</t>
  </si>
  <si>
    <t>pp</t>
  </si>
  <si>
    <t>Hospital MIS Report - 2024-03</t>
  </si>
  <si>
    <t>Compared with: 2024-02</t>
  </si>
  <si>
    <t>Key Insights</t>
  </si>
  <si>
    <t>1. Admissions up 4.0% MoM to 900 (vs 865 in 2024-02).</t>
  </si>
  <si>
    <t>2. Total billing rose 2.5% MoM; average billing per admission fell 1.5%. Billing growth was volume-driven, not rate-driven.</t>
  </si>
  <si>
    <t>3. Emergency admission share fell 3.1 pp to 32.0%.</t>
  </si>
  <si>
    <t>4. Average length of stay increased to 16.0 days (from 15.5).</t>
  </si>
  <si>
    <t>5. Top condition by billing: Cancer (18.0% of total billing).</t>
  </si>
  <si>
    <t>6. Largest billing source: Blue Cross (22.4% of total billing).</t>
  </si>
  <si>
    <t>7. Abnormal test result share fell 5.8 pp to 32.1%.</t>
  </si>
  <si>
    <t>Medical_Condition</t>
  </si>
  <si>
    <t>Admissions</t>
  </si>
  <si>
    <t>Billing</t>
  </si>
  <si>
    <t>Avg_LOS</t>
  </si>
  <si>
    <t>Cancer</t>
  </si>
  <si>
    <t>Diabetes</t>
  </si>
  <si>
    <t>Asthma</t>
  </si>
  <si>
    <t>Hypertension</t>
  </si>
  <si>
    <t>Obesity</t>
  </si>
  <si>
    <t>Arthritis</t>
  </si>
  <si>
    <t>Admission_Type</t>
  </si>
  <si>
    <t>Urgent</t>
  </si>
  <si>
    <t>Emergency</t>
  </si>
  <si>
    <t>Elective</t>
  </si>
  <si>
    <t>Insurance_Provider</t>
  </si>
  <si>
    <t>Blue Cross</t>
  </si>
  <si>
    <t>Unitedhealthcare</t>
  </si>
  <si>
    <t>Cigna</t>
  </si>
  <si>
    <t>Aetna</t>
  </si>
  <si>
    <t>Medicare</t>
  </si>
  <si>
    <t>Age_Group</t>
  </si>
  <si>
    <t>0-18</t>
  </si>
  <si>
    <t>19-35</t>
  </si>
  <si>
    <t>36-50</t>
  </si>
  <si>
    <t>51-65</t>
  </si>
  <si>
    <t>65+</t>
  </si>
  <si>
    <t>Medication</t>
  </si>
  <si>
    <t>Aspirin</t>
  </si>
  <si>
    <t>Ibuprofen</t>
  </si>
  <si>
    <t>Paracetamol</t>
  </si>
  <si>
    <t>Penicillin</t>
  </si>
  <si>
    <t>Lipitor</t>
  </si>
  <si>
    <t>Abnormal_Test_Pct</t>
  </si>
  <si>
    <t>Year_Month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</si>
  <si>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</si>
  <si>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</si>
  <si>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</si>
  <si>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</si>
  <si>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</si>
  <si>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</si>
  <si>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</si>
  <si>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</si>
  <si>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</si>
  <si>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</si>
  <si>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</si>
  <si>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</si>
  <si>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</si>
  <si>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</si>
  <si>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</si>
  <si>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</si>
  <si>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</si>
  <si>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</si>
  <si>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</si>
  <si>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</si>
  <si>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</si>
  <si>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</si>
  <si>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</si>
  <si>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</si>
  <si>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</si>
  <si>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</si>
  <si>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</si>
  <si>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</si>
  <si>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</si>
  <si>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</si>
  <si>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</si>
  <si>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</si>
  <si>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</si>
  <si>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</si>
  <si>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</si>
  <si>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</si>
  <si>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</si>
  <si>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</si>
  <si>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</si>
  <si>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</si>
  <si>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</si>
  <si>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</si>
  <si>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</si>
  <si>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</si>
  <si>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</si>
  <si>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</si>
  <si>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</si>
  <si>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</si>
  <si>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</si>
  <si>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</si>
  <si>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</si>
  <si>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</si>
  <si>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</si>
  <si>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</si>
  <si>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</si>
  <si>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</si>
  <si>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</si>
  <si>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</si>
  <si>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</si>
  <si>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Check</t>
  </si>
  <si>
    <t>Count</t>
  </si>
  <si>
    <t>Raw rows</t>
  </si>
  <si>
    <t>Duplicates removed</t>
  </si>
  <si>
    <t>Invalid dates removed</t>
  </si>
  <si>
    <t>Missing numeric rows removed</t>
  </si>
  <si>
    <t>Invalid billing removed</t>
  </si>
  <si>
    <t>Discharge before admission removed</t>
  </si>
  <si>
    <t>Final clean rows</t>
  </si>
  <si>
    <t>Partial months excluded from trend: 2019-05, 2024-05</t>
  </si>
  <si>
    <t>Age</t>
  </si>
  <si>
    <t>Gender</t>
  </si>
  <si>
    <t>Blood_Type</t>
  </si>
  <si>
    <t>Date_of_Admission</t>
  </si>
  <si>
    <t>Doctor</t>
  </si>
  <si>
    <t>Hospital</t>
  </si>
  <si>
    <t>Billing_Amount</t>
  </si>
  <si>
    <t>Room_Number</t>
  </si>
  <si>
    <t>Discharge_Date</t>
  </si>
  <si>
    <t>Test_Results</t>
  </si>
  <si>
    <t>Length_of_Stay</t>
  </si>
  <si>
    <t>Male</t>
  </si>
  <si>
    <t>Female</t>
  </si>
  <si>
    <t>B+</t>
  </si>
  <si>
    <t>O+</t>
  </si>
  <si>
    <t>AB+</t>
  </si>
  <si>
    <t>A+</t>
  </si>
  <si>
    <t>AB-</t>
  </si>
  <si>
    <t>A-</t>
  </si>
  <si>
    <t>O-</t>
  </si>
  <si>
    <t>B-</t>
  </si>
  <si>
    <t>Timothy Baker</t>
  </si>
  <si>
    <t>Kyle Smith</t>
  </si>
  <si>
    <t>Michael Larson</t>
  </si>
  <si>
    <t>Gregory Lambert</t>
  </si>
  <si>
    <t>Amanda Wells</t>
  </si>
  <si>
    <t>Howard Obrien</t>
  </si>
  <si>
    <t>Bob Moyer</t>
  </si>
  <si>
    <t>Daisy Eaton</t>
  </si>
  <si>
    <t>Benjamin Bryant</t>
  </si>
  <si>
    <t>Gary Barr</t>
  </si>
  <si>
    <t>Adrienne Howard</t>
  </si>
  <si>
    <t>Mark Johnson</t>
  </si>
  <si>
    <t>Christopher Hudson</t>
  </si>
  <si>
    <t>Lee Santiago</t>
  </si>
  <si>
    <t>Kaylee Hampton</t>
  </si>
  <si>
    <t>Daniel Sanders</t>
  </si>
  <si>
    <t>Tiffany Ortega</t>
  </si>
  <si>
    <t>Allison Harper</t>
  </si>
  <si>
    <t>Amber Walker</t>
  </si>
  <si>
    <t>Kyle Montes</t>
  </si>
  <si>
    <t>Ronald Hoover</t>
  </si>
  <si>
    <t>Christopher Mills</t>
  </si>
  <si>
    <t>Regina Glass</t>
  </si>
  <si>
    <t>Paul Coleman</t>
  </si>
  <si>
    <t>Travis Morales</t>
  </si>
  <si>
    <t>Theresa Harrison</t>
  </si>
  <si>
    <t>Sara Cole</t>
  </si>
  <si>
    <t>Amber Williams</t>
  </si>
  <si>
    <t>Eileen Sanchez</t>
  </si>
  <si>
    <t>Alexander Mcintosh</t>
  </si>
  <si>
    <t>Pedro Stewart</t>
  </si>
  <si>
    <t>Troy Williams</t>
  </si>
  <si>
    <t>Dennis Cabrera</t>
  </si>
  <si>
    <t>Maurice Cox</t>
  </si>
  <si>
    <t>Emily Aguilar</t>
  </si>
  <si>
    <t>Gregory James</t>
  </si>
  <si>
    <t>Amy Melendez</t>
  </si>
  <si>
    <t>Cynthia Williams</t>
  </si>
  <si>
    <t>Scott Turner</t>
  </si>
  <si>
    <t>Richard Nelson</t>
  </si>
  <si>
    <t>Jeff Lin</t>
  </si>
  <si>
    <t>Melissa Reyes</t>
  </si>
  <si>
    <t>Marcus Turner</t>
  </si>
  <si>
    <t>Allison Roberson</t>
  </si>
  <si>
    <t>Cynthia Martin</t>
  </si>
  <si>
    <t>Tammy Cisneros</t>
  </si>
  <si>
    <t>Tyler Pearson</t>
  </si>
  <si>
    <t>Wendy Oliver</t>
  </si>
  <si>
    <t>Rebecca Herring</t>
  </si>
  <si>
    <t>Sandra Hanson</t>
  </si>
  <si>
    <t>Ronald Dawson</t>
  </si>
  <si>
    <t>Janice Smith</t>
  </si>
  <si>
    <t>Ryan Callahan</t>
  </si>
  <si>
    <t>Timothy Morrison</t>
  </si>
  <si>
    <t>Ashley Parker</t>
  </si>
  <si>
    <t>Raymond Roberts</t>
  </si>
  <si>
    <t>Elizabeth Foster</t>
  </si>
  <si>
    <t>Trevor Hickman</t>
  </si>
  <si>
    <t>Charles Ramirez</t>
  </si>
  <si>
    <t>Laura Carter</t>
  </si>
  <si>
    <t>Valerie Lang</t>
  </si>
  <si>
    <t>Billy Kelley</t>
  </si>
  <si>
    <t>Dorothy Burke</t>
  </si>
  <si>
    <t>John Gray</t>
  </si>
  <si>
    <t>Joel Bennett</t>
  </si>
  <si>
    <t>James Taylor</t>
  </si>
  <si>
    <t>Tony Ross</t>
  </si>
  <si>
    <t>Eric Montes</t>
  </si>
  <si>
    <t>Edward Dillon</t>
  </si>
  <si>
    <t>Kendra Wilson</t>
  </si>
  <si>
    <t>Douglas Moore</t>
  </si>
  <si>
    <t>Claire Stark</t>
  </si>
  <si>
    <t>Walter Adams</t>
  </si>
  <si>
    <t>Terry Gibson</t>
  </si>
  <si>
    <t>Benjamin Mcconnell</t>
  </si>
  <si>
    <t>Amy Davenport</t>
  </si>
  <si>
    <t>Jerry Jimenez</t>
  </si>
  <si>
    <t>Kyle Valdez</t>
  </si>
  <si>
    <t>Angela Anderson</t>
  </si>
  <si>
    <t>Matthew Shannon</t>
  </si>
  <si>
    <t>Karen Green</t>
  </si>
  <si>
    <t>John Guzman</t>
  </si>
  <si>
    <t>James Ruiz</t>
  </si>
  <si>
    <t>Jackie Jones</t>
  </si>
  <si>
    <t>Jessica Garcia</t>
  </si>
  <si>
    <t>Anthony Jackson</t>
  </si>
  <si>
    <t>Jamie Wright</t>
  </si>
  <si>
    <t>Ricky Kim</t>
  </si>
  <si>
    <t>Anthony Sanchez</t>
  </si>
  <si>
    <t>Joshua Matthews</t>
  </si>
  <si>
    <t>Rebecca West</t>
  </si>
  <si>
    <t>Daniel Cervantes</t>
  </si>
  <si>
    <t>Jamie Duarte</t>
  </si>
  <si>
    <t>Jonathan Hernandez</t>
  </si>
  <si>
    <t>Amanda Lyons</t>
  </si>
  <si>
    <t>Taylor Jackson</t>
  </si>
  <si>
    <t>Darren Wilson</t>
  </si>
  <si>
    <t>Cynthia Mcdowell</t>
  </si>
  <si>
    <t>Jessica Taylor</t>
  </si>
  <si>
    <t>Donna Miller</t>
  </si>
  <si>
    <t>Kayla Schneider</t>
  </si>
  <si>
    <t>Brandon Miller</t>
  </si>
  <si>
    <t>Devin Williams</t>
  </si>
  <si>
    <t>Edward Barton</t>
  </si>
  <si>
    <t>Nicole Brown</t>
  </si>
  <si>
    <t>Jennifer Kim</t>
  </si>
  <si>
    <t>Abigail King</t>
  </si>
  <si>
    <t>Mark White</t>
  </si>
  <si>
    <t>Tammy Smith</t>
  </si>
  <si>
    <t>Rebecca Carroll</t>
  </si>
  <si>
    <t>Thomas Odonnell</t>
  </si>
  <si>
    <t>Michael Deleon</t>
  </si>
  <si>
    <t>Sherry Navarro</t>
  </si>
  <si>
    <t>Christopher Murray</t>
  </si>
  <si>
    <t>Michael Marshall</t>
  </si>
  <si>
    <t>Tammy Rose</t>
  </si>
  <si>
    <t>Alexandra Martin</t>
  </si>
  <si>
    <t>Cheryl Gomez</t>
  </si>
  <si>
    <t>Fred Davies</t>
  </si>
  <si>
    <t>Billy Snyder</t>
  </si>
  <si>
    <t>Michael Berg</t>
  </si>
  <si>
    <t>Stephen Rogers</t>
  </si>
  <si>
    <t>Danielle Willis</t>
  </si>
  <si>
    <t>Robert Maldonado</t>
  </si>
  <si>
    <t>Logan White</t>
  </si>
  <si>
    <t>Erik Baird</t>
  </si>
  <si>
    <t>Shawn Davis</t>
  </si>
  <si>
    <t>Judy Mccullough</t>
  </si>
  <si>
    <t>Travis Martin</t>
  </si>
  <si>
    <t>Tina Williams</t>
  </si>
  <si>
    <t>Michael Sloan</t>
  </si>
  <si>
    <t>Kimberly Nielsen</t>
  </si>
  <si>
    <t>Michelle White</t>
  </si>
  <si>
    <t>Jacqueline Williams</t>
  </si>
  <si>
    <t>Angela Charles</t>
  </si>
  <si>
    <t>Donald Cobb</t>
  </si>
  <si>
    <t>Kathryn Jackson</t>
  </si>
  <si>
    <t>Kelly Velasquez</t>
  </si>
  <si>
    <t>Logan Day</t>
  </si>
  <si>
    <t>Stephanie Williams</t>
  </si>
  <si>
    <t>Luis Gray</t>
  </si>
  <si>
    <t>Sandra Moore</t>
  </si>
  <si>
    <t>John Elliott</t>
  </si>
  <si>
    <t>Michael Lee</t>
  </si>
  <si>
    <t>Steven Johnson</t>
  </si>
  <si>
    <t>Jason Rodgers</t>
  </si>
  <si>
    <t>Brenda Pearson</t>
  </si>
  <si>
    <t>Justin Peterson</t>
  </si>
  <si>
    <t>Brandon Frederick</t>
  </si>
  <si>
    <t>Charles Gilmore</t>
  </si>
  <si>
    <t>Austin Potter</t>
  </si>
  <si>
    <t>Gail Wright</t>
  </si>
  <si>
    <t>Robert Bryant</t>
  </si>
  <si>
    <t>Michael Kelley</t>
  </si>
  <si>
    <t>Jared Jones</t>
  </si>
  <si>
    <t>Danielle Richard</t>
  </si>
  <si>
    <t>Michelle Salas</t>
  </si>
  <si>
    <t>Michael Smith</t>
  </si>
  <si>
    <t>Andrea Johns</t>
  </si>
  <si>
    <t>Ernest Mendoza</t>
  </si>
  <si>
    <t>Christopher Matthews</t>
  </si>
  <si>
    <t>Holly Harris</t>
  </si>
  <si>
    <t>Michael Glenn</t>
  </si>
  <si>
    <t>Samantha King</t>
  </si>
  <si>
    <t>Laura Murphy</t>
  </si>
  <si>
    <t>Beth Lee</t>
  </si>
  <si>
    <t>Kevin Lindsey</t>
  </si>
  <si>
    <t>Kevin Zhang</t>
  </si>
  <si>
    <t>Tiffany Santiago</t>
  </si>
  <si>
    <t>Jacob Robinson</t>
  </si>
  <si>
    <t>Erica Collier</t>
  </si>
  <si>
    <t>Jonathan Miller</t>
  </si>
  <si>
    <t>Taylor Garcia</t>
  </si>
  <si>
    <t>Laura Roberts</t>
  </si>
  <si>
    <t>James Joseph</t>
  </si>
  <si>
    <t>Regina Wilkins</t>
  </si>
  <si>
    <t>Katherine Davis</t>
  </si>
  <si>
    <t>Samuel Suarez</t>
  </si>
  <si>
    <t>Joshua Moyer</t>
  </si>
  <si>
    <t>Sarah Jones</t>
  </si>
  <si>
    <t>Heidi Nguyen</t>
  </si>
  <si>
    <t>Dustin Mercer</t>
  </si>
  <si>
    <t>Christopher Perkins</t>
  </si>
  <si>
    <t>Michael Avery</t>
  </si>
  <si>
    <t>Kathryn Nash</t>
  </si>
  <si>
    <t>Denise Smith</t>
  </si>
  <si>
    <t>Jimmy Carlson</t>
  </si>
  <si>
    <t>Michael Hess</t>
  </si>
  <si>
    <t>Ashley Hill</t>
  </si>
  <si>
    <t>Craig Sutton</t>
  </si>
  <si>
    <t>Brandon Glenn</t>
  </si>
  <si>
    <t>Kenneth Hines</t>
  </si>
  <si>
    <t>Gabriela Martin</t>
  </si>
  <si>
    <t>Richard Smith</t>
  </si>
  <si>
    <t>Debbie Hampton</t>
  </si>
  <si>
    <t>Melissa Spears</t>
  </si>
  <si>
    <t>Michael Carpenter</t>
  </si>
  <si>
    <t>Brianna Washington</t>
  </si>
  <si>
    <t>Lisa Rodriguez</t>
  </si>
  <si>
    <t>Michelle Simmons</t>
  </si>
  <si>
    <t>Katrina Gallegos</t>
  </si>
  <si>
    <t>Justin Adams</t>
  </si>
  <si>
    <t>Leslie Williams</t>
  </si>
  <si>
    <t>Johnathan Gonzales</t>
  </si>
  <si>
    <t>Peter Collins</t>
  </si>
  <si>
    <t>Timothy Schultz</t>
  </si>
  <si>
    <t>Rebecca Cole</t>
  </si>
  <si>
    <t>Christopher Lynch</t>
  </si>
  <si>
    <t>Donna Boyer</t>
  </si>
  <si>
    <t>Lucas Davis</t>
  </si>
  <si>
    <t>Meghan Lane</t>
  </si>
  <si>
    <t>Andre Brown</t>
  </si>
  <si>
    <t>Cynthia Parker</t>
  </si>
  <si>
    <t>Daniel Ewing</t>
  </si>
  <si>
    <t>Jeremy Santos</t>
  </si>
  <si>
    <t>Holly Diaz</t>
  </si>
  <si>
    <t>Molly Lopez</t>
  </si>
  <si>
    <t>Thomas Morse</t>
  </si>
  <si>
    <t>Ethan Mccarthy</t>
  </si>
  <si>
    <t>Jeremy Curtis</t>
  </si>
  <si>
    <t>Andrew Booker</t>
  </si>
  <si>
    <t>David Thompson</t>
  </si>
  <si>
    <t>Courtney Jackson</t>
  </si>
  <si>
    <t>Madison Chavez</t>
  </si>
  <si>
    <t>Jonathan Barker</t>
  </si>
  <si>
    <t>Joshua Orozco</t>
  </si>
  <si>
    <t>Justin Wolfe</t>
  </si>
  <si>
    <t>Erin Moore</t>
  </si>
  <si>
    <t>Angela Holt</t>
  </si>
  <si>
    <t>Yvette Williams</t>
  </si>
  <si>
    <t>Theresa Hill</t>
  </si>
  <si>
    <t>Tyler Gordon</t>
  </si>
  <si>
    <t>Joy Ortiz</t>
  </si>
  <si>
    <t>Mary Bautista</t>
  </si>
  <si>
    <t>Alyssa Young</t>
  </si>
  <si>
    <t>Linda Miller</t>
  </si>
  <si>
    <t>Christine Graham</t>
  </si>
  <si>
    <t>Michelle Ramirez</t>
  </si>
  <si>
    <t>Amanda Little</t>
  </si>
  <si>
    <t>Kenneth Coleman</t>
  </si>
  <si>
    <t>William Lopez</t>
  </si>
  <si>
    <t>Peter Myers</t>
  </si>
  <si>
    <t>Kerri White</t>
  </si>
  <si>
    <t>Heidi Martinez</t>
  </si>
  <si>
    <t>Sarah Bennett</t>
  </si>
  <si>
    <t>Kathleen Santos</t>
  </si>
  <si>
    <t>Zachary Hall</t>
  </si>
  <si>
    <t>Brian Webb</t>
  </si>
  <si>
    <t>Mary Dennis</t>
  </si>
  <si>
    <t>Michelle Ward</t>
  </si>
  <si>
    <t>David Anderson</t>
  </si>
  <si>
    <t>Danielle Stevenson</t>
  </si>
  <si>
    <t>Amber Becker</t>
  </si>
  <si>
    <t>Vanessa Ali</t>
  </si>
  <si>
    <t>Melvin Richardson</t>
  </si>
  <si>
    <t>Emily Lynch</t>
  </si>
  <si>
    <t>Allison Harrison</t>
  </si>
  <si>
    <t>James Rich</t>
  </si>
  <si>
    <t>Carolyn Campbell</t>
  </si>
  <si>
    <t>Duane Lindsey</t>
  </si>
  <si>
    <t>Diane Griffith</t>
  </si>
  <si>
    <t>Nancy Cox</t>
  </si>
  <si>
    <t>Sarah Harrison</t>
  </si>
  <si>
    <t>Brett Little</t>
  </si>
  <si>
    <t>Robert Casey</t>
  </si>
  <si>
    <t>Kenneth Dunn</t>
  </si>
  <si>
    <t>Jennifer Henderson</t>
  </si>
  <si>
    <t>David Robinson</t>
  </si>
  <si>
    <t>Darrell Robles</t>
  </si>
  <si>
    <t>Ryan Gibbs</t>
  </si>
  <si>
    <t>Rachel Murphy</t>
  </si>
  <si>
    <t>Karen Oconnell</t>
  </si>
  <si>
    <t>Tracey Walton</t>
  </si>
  <si>
    <t>Veronica Griffin</t>
  </si>
  <si>
    <t>Christian Clark</t>
  </si>
  <si>
    <t>Adrian Warren</t>
  </si>
  <si>
    <t>Luis Gordon</t>
  </si>
  <si>
    <t>Christina Wood</t>
  </si>
  <si>
    <t>James Johnson</t>
  </si>
  <si>
    <t>Paul Lyons</t>
  </si>
  <si>
    <t>Sean Carlson</t>
  </si>
  <si>
    <t>Elijah Stuart</t>
  </si>
  <si>
    <t>Brian Frazier</t>
  </si>
  <si>
    <t>Robyn Martinez</t>
  </si>
  <si>
    <t>Chris Nichols</t>
  </si>
  <si>
    <t>Latasha Lester</t>
  </si>
  <si>
    <t>Bobby Marks</t>
  </si>
  <si>
    <t>Teresa Figueroa</t>
  </si>
  <si>
    <t>Charles Schmidt</t>
  </si>
  <si>
    <t>Francisco Myers</t>
  </si>
  <si>
    <t>Joshua Bell</t>
  </si>
  <si>
    <t>Monique Smith</t>
  </si>
  <si>
    <t>Sally Smith</t>
  </si>
  <si>
    <t>Greg Smith</t>
  </si>
  <si>
    <t>Jacqueline Weaver</t>
  </si>
  <si>
    <t>Stacey James</t>
  </si>
  <si>
    <t>Kenneth Garza</t>
  </si>
  <si>
    <t>Nicole Reed</t>
  </si>
  <si>
    <t>Rebecca Bennett</t>
  </si>
  <si>
    <t>Monica Diaz</t>
  </si>
  <si>
    <t>Jenna Davila</t>
  </si>
  <si>
    <t>Adam Smith</t>
  </si>
  <si>
    <t>Alexander Smith</t>
  </si>
  <si>
    <t>Linda Mahoney</t>
  </si>
  <si>
    <t>Tracy Brown</t>
  </si>
  <si>
    <t>Kathryn Thomas</t>
  </si>
  <si>
    <t>James Andrews</t>
  </si>
  <si>
    <t>Jeffery Christian</t>
  </si>
  <si>
    <t>Wanda Stark</t>
  </si>
  <si>
    <t>Traci Burgess</t>
  </si>
  <si>
    <t>Jennifer Zimmerman</t>
  </si>
  <si>
    <t>Keith Ortiz</t>
  </si>
  <si>
    <t>David Brown</t>
  </si>
  <si>
    <t>Cheryl Harper</t>
  </si>
  <si>
    <t>Nicole Brewer</t>
  </si>
  <si>
    <t>Bradley Jensen</t>
  </si>
  <si>
    <t>Brian Barnes</t>
  </si>
  <si>
    <t>Kaitlyn Lopez</t>
  </si>
  <si>
    <t>Nicholas Watkins</t>
  </si>
  <si>
    <t>Laura Jones</t>
  </si>
  <si>
    <t>Christopher Nelson</t>
  </si>
  <si>
    <t>Thomas Lee</t>
  </si>
  <si>
    <t>Ashley Webster</t>
  </si>
  <si>
    <t>Charles Lam</t>
  </si>
  <si>
    <t>Gregory Phelps</t>
  </si>
  <si>
    <t>Beth Taylor</t>
  </si>
  <si>
    <t>Ashley Turner</t>
  </si>
  <si>
    <t>Toni Thomas</t>
  </si>
  <si>
    <t>Kathryn Andrade</t>
  </si>
  <si>
    <t>Mathew Espinoza</t>
  </si>
  <si>
    <t>Jennifer Perry</t>
  </si>
  <si>
    <t>Danielle Short</t>
  </si>
  <si>
    <t>Hector Owens</t>
  </si>
  <si>
    <t>Ruth Henry</t>
  </si>
  <si>
    <t>Cynthia Ayala</t>
  </si>
  <si>
    <t>Erika Newman</t>
  </si>
  <si>
    <t>Peggy Andrews</t>
  </si>
  <si>
    <t>Mitchell Bradley</t>
  </si>
  <si>
    <t>David Perkins</t>
  </si>
  <si>
    <t>Michael Mejia</t>
  </si>
  <si>
    <t>Alexandria Martinez</t>
  </si>
  <si>
    <t>Deanna Lewis</t>
  </si>
  <si>
    <t>Nichole Clarke</t>
  </si>
  <si>
    <t>Karen Hatfield</t>
  </si>
  <si>
    <t>Gregory Kelley</t>
  </si>
  <si>
    <t>Jessica Johnson</t>
  </si>
  <si>
    <t>Kenneth Mitchell</t>
  </si>
  <si>
    <t>Kristin Wu</t>
  </si>
  <si>
    <t>Daniel Hines</t>
  </si>
  <si>
    <t>Amy Moran</t>
  </si>
  <si>
    <t>Matthew Doyle</t>
  </si>
  <si>
    <t>Joseph Mercado</t>
  </si>
  <si>
    <t>James Nelson</t>
  </si>
  <si>
    <t>Jacob Clark</t>
  </si>
  <si>
    <t>Bryan Anderson</t>
  </si>
  <si>
    <t>Norman Howell</t>
  </si>
  <si>
    <t>Taylor Roberson</t>
  </si>
  <si>
    <t>Vanessa Duarte</t>
  </si>
  <si>
    <t>Diana Erickson</t>
  </si>
  <si>
    <t>Dawn Carr</t>
  </si>
  <si>
    <t>Jeff White</t>
  </si>
  <si>
    <t>Kayla Calderon</t>
  </si>
  <si>
    <t>Tiffany Duffy</t>
  </si>
  <si>
    <t>Holly Johnson</t>
  </si>
  <si>
    <t>Angela Velazquez</t>
  </si>
  <si>
    <t>Joseph Jones</t>
  </si>
  <si>
    <t>Matthew Rivers</t>
  </si>
  <si>
    <t>Paul Stewart</t>
  </si>
  <si>
    <t>Yesenia Cannon</t>
  </si>
  <si>
    <t>Rose Boyd</t>
  </si>
  <si>
    <t>Dawn Shannon</t>
  </si>
  <si>
    <t>Tara Mendoza</t>
  </si>
  <si>
    <t>Alice Moore</t>
  </si>
  <si>
    <t>Justin Banks</t>
  </si>
  <si>
    <t>Angel Day</t>
  </si>
  <si>
    <t>David Nguyen</t>
  </si>
  <si>
    <t>Ashley Gordon</t>
  </si>
  <si>
    <t>Vincent Dean</t>
  </si>
  <si>
    <t>Lisa Burch</t>
  </si>
  <si>
    <t>Christopher Howard</t>
  </si>
  <si>
    <t>Julie Singleton</t>
  </si>
  <si>
    <t>Jason Wiggins</t>
  </si>
  <si>
    <t>Todd Vazquez</t>
  </si>
  <si>
    <t>Jeffrey Patterson</t>
  </si>
  <si>
    <t>Jose Baker</t>
  </si>
  <si>
    <t>Kevin Mcdonald</t>
  </si>
  <si>
    <t>Kimberly Gonzalez</t>
  </si>
  <si>
    <t>Richard White</t>
  </si>
  <si>
    <t>Alexandra Holmes</t>
  </si>
  <si>
    <t>Zachary Hopkins</t>
  </si>
  <si>
    <t>Lori Russo</t>
  </si>
  <si>
    <t>Samuel Estes</t>
  </si>
  <si>
    <t>Cassandra Kelly</t>
  </si>
  <si>
    <t>Rebecca Chan</t>
  </si>
  <si>
    <t>Kerry Cobb</t>
  </si>
  <si>
    <t>Brian Tate</t>
  </si>
  <si>
    <t>Michael Kim</t>
  </si>
  <si>
    <t>Donald Robertson</t>
  </si>
  <si>
    <t>Jason Ortiz</t>
  </si>
  <si>
    <t>Sharon Payne</t>
  </si>
  <si>
    <t>Robert Raymond</t>
  </si>
  <si>
    <t>Jacob Gonzalez</t>
  </si>
  <si>
    <t>Jason Nunez</t>
  </si>
  <si>
    <t>Lynn Green</t>
  </si>
  <si>
    <t>Joseph Lee</t>
  </si>
  <si>
    <t>Sarah Murphy</t>
  </si>
  <si>
    <t>Connor Schaefer</t>
  </si>
  <si>
    <t>Charles Diaz</t>
  </si>
  <si>
    <t>Jacob Turner</t>
  </si>
  <si>
    <t>Jeffrey Olson</t>
  </si>
  <si>
    <t>Linda Carlson</t>
  </si>
  <si>
    <t>Frank Maddox</t>
  </si>
  <si>
    <t>Jose Cox</t>
  </si>
  <si>
    <t>Karen Woods</t>
  </si>
  <si>
    <t>Barry Farley</t>
  </si>
  <si>
    <t>Terry Edwards</t>
  </si>
  <si>
    <t>Morgan Walker</t>
  </si>
  <si>
    <t>Mary Johnson</t>
  </si>
  <si>
    <t>Mary Cooper</t>
  </si>
  <si>
    <t>Christian Lewis</t>
  </si>
  <si>
    <t>Danielle Bennett</t>
  </si>
  <si>
    <t>Joshua Sullivan</t>
  </si>
  <si>
    <t>Katrina Barton</t>
  </si>
  <si>
    <t>Becky Taylor</t>
  </si>
  <si>
    <t>Michael Moore</t>
  </si>
  <si>
    <t>Christopher Arnold</t>
  </si>
  <si>
    <t>Michael Wiley</t>
  </si>
  <si>
    <t>Scott Snyder</t>
  </si>
  <si>
    <t>Keith Conley</t>
  </si>
  <si>
    <t>Steven Rogers</t>
  </si>
  <si>
    <t>Shannon Soto</t>
  </si>
  <si>
    <t>Aaron Baker</t>
  </si>
  <si>
    <t>Steven Barnett</t>
  </si>
  <si>
    <t>Eric Evans</t>
  </si>
  <si>
    <t>Christine Schmidt</t>
  </si>
  <si>
    <t>Kathy Montgomery</t>
  </si>
  <si>
    <t>Stephanie Hood</t>
  </si>
  <si>
    <t>Calvin Tucker</t>
  </si>
  <si>
    <t>Christine Dodson</t>
  </si>
  <si>
    <t>Chelsea Owen</t>
  </si>
  <si>
    <t>Denise Burke</t>
  </si>
  <si>
    <t>Linda Taylor</t>
  </si>
  <si>
    <t>Christopher Walls</t>
  </si>
  <si>
    <t>Cassandra Bryant</t>
  </si>
  <si>
    <t>Joseph Powell</t>
  </si>
  <si>
    <t>Justin Douglas</t>
  </si>
  <si>
    <t>Alex Wells</t>
  </si>
  <si>
    <t>Beverly Howell</t>
  </si>
  <si>
    <t>David Howell</t>
  </si>
  <si>
    <t>Timothy Patterson</t>
  </si>
  <si>
    <t>Adam Marsh</t>
  </si>
  <si>
    <t>Latoya Barker</t>
  </si>
  <si>
    <t>Ashley Hicks</t>
  </si>
  <si>
    <t>Anna Meza</t>
  </si>
  <si>
    <t>Nicole Farmer</t>
  </si>
  <si>
    <t>Christian Williams</t>
  </si>
  <si>
    <t>Diana Franco</t>
  </si>
  <si>
    <t>Mark Lopez</t>
  </si>
  <si>
    <t>Katherine Henry</t>
  </si>
  <si>
    <t>Randy Bernard</t>
  </si>
  <si>
    <t>Paul Blake</t>
  </si>
  <si>
    <t>Jasmine Garcia</t>
  </si>
  <si>
    <t>Robert Hubbard</t>
  </si>
  <si>
    <t>Juan Cole</t>
  </si>
  <si>
    <t>Michele Bridges</t>
  </si>
  <si>
    <t>Mark Edwards</t>
  </si>
  <si>
    <t>Jaime Dunn</t>
  </si>
  <si>
    <t>Nathan Graves</t>
  </si>
  <si>
    <t>Teresa Eaton</t>
  </si>
  <si>
    <t>Robert Murphy</t>
  </si>
  <si>
    <t>Mathew Hampton</t>
  </si>
  <si>
    <t>Ann Leblanc</t>
  </si>
  <si>
    <t>Karen Schwartz</t>
  </si>
  <si>
    <t>Johnny Fox</t>
  </si>
  <si>
    <t>Michael Miles</t>
  </si>
  <si>
    <t>Nicholas Hicks</t>
  </si>
  <si>
    <t>Joann Ellis</t>
  </si>
  <si>
    <t>Joseph Rodriguez</t>
  </si>
  <si>
    <t>Allison Bentley</t>
  </si>
  <si>
    <t>Thomas Garrett</t>
  </si>
  <si>
    <t>Alyssa Rivera</t>
  </si>
  <si>
    <t>Alexis Pineda</t>
  </si>
  <si>
    <t>Allen Schroeder</t>
  </si>
  <si>
    <t>Edward Johnson</t>
  </si>
  <si>
    <t>Paul Ware</t>
  </si>
  <si>
    <t>Ryan Holmes</t>
  </si>
  <si>
    <t>Lee Williams</t>
  </si>
  <si>
    <t>Jamie Morris</t>
  </si>
  <si>
    <t>William Dalton</t>
  </si>
  <si>
    <t>Victoria Roberts</t>
  </si>
  <si>
    <t>Theodore Walker</t>
  </si>
  <si>
    <t>Connie Romero</t>
  </si>
  <si>
    <t>William Glass</t>
  </si>
  <si>
    <t>Sarah Garcia</t>
  </si>
  <si>
    <t>Bianca Sanchez</t>
  </si>
  <si>
    <t>Krystal Jackson</t>
  </si>
  <si>
    <t>John Atkinson</t>
  </si>
  <si>
    <t>Traci Perez</t>
  </si>
  <si>
    <t>Karen Lopez</t>
  </si>
  <si>
    <t>Sheri Galvan</t>
  </si>
  <si>
    <t>Mercedes Richards</t>
  </si>
  <si>
    <t>Erika Bowen</t>
  </si>
  <si>
    <t>Christopher Clayton</t>
  </si>
  <si>
    <t>Gloria Johnson</t>
  </si>
  <si>
    <t>Jeanette Cowan</t>
  </si>
  <si>
    <t>Nancy Graham</t>
  </si>
  <si>
    <t>Kelsey Smith</t>
  </si>
  <si>
    <t>Paul King</t>
  </si>
  <si>
    <t>Jeffrey Arroyo</t>
  </si>
  <si>
    <t>Linda Duncan</t>
  </si>
  <si>
    <t>Teresa Rivera</t>
  </si>
  <si>
    <t>Scott Moore</t>
  </si>
  <si>
    <t>Peter Johnson</t>
  </si>
  <si>
    <t>Diana Mcpherson</t>
  </si>
  <si>
    <t>Eric Rodriguez</t>
  </si>
  <si>
    <t>Robert Duncan</t>
  </si>
  <si>
    <t>Ann Page</t>
  </si>
  <si>
    <t>Ryan Cross</t>
  </si>
  <si>
    <t>John Sandoval</t>
  </si>
  <si>
    <t>Sarah Gibson</t>
  </si>
  <si>
    <t>Victoria Mathis</t>
  </si>
  <si>
    <t>Michelle Smith</t>
  </si>
  <si>
    <t>Ryan Williamson</t>
  </si>
  <si>
    <t>Barbara Smith</t>
  </si>
  <si>
    <t>Chad Adams</t>
  </si>
  <si>
    <t>Jessica Hanson</t>
  </si>
  <si>
    <t>Carolyn Cooper</t>
  </si>
  <si>
    <t>Anthony Peterson</t>
  </si>
  <si>
    <t>Daniel Mitchell</t>
  </si>
  <si>
    <t>Christopher Potter</t>
  </si>
  <si>
    <t>Thomas Barrett</t>
  </si>
  <si>
    <t>Ronald Cook</t>
  </si>
  <si>
    <t>Jeffrey Walker</t>
  </si>
  <si>
    <t>Anne Garcia</t>
  </si>
  <si>
    <t>Paul Hogan</t>
  </si>
  <si>
    <t>Shirley Johnson</t>
  </si>
  <si>
    <t>Lauren Hunter</t>
  </si>
  <si>
    <t>Rebecca Romero</t>
  </si>
  <si>
    <t>John Lewis</t>
  </si>
  <si>
    <t>Christopher Floyd</t>
  </si>
  <si>
    <t>Kevin Silva</t>
  </si>
  <si>
    <t>Greg Williams</t>
  </si>
  <si>
    <t>Shaun Cooper</t>
  </si>
  <si>
    <t>Emily Blair</t>
  </si>
  <si>
    <t>Jose Pham</t>
  </si>
  <si>
    <t>Elizabeth Ortiz</t>
  </si>
  <si>
    <t>Crystal Boyd</t>
  </si>
  <si>
    <t>Kathryn Adams</t>
  </si>
  <si>
    <t>Anna Cooper</t>
  </si>
  <si>
    <t>Erin Holder</t>
  </si>
  <si>
    <t>Margaret Griffin</t>
  </si>
  <si>
    <t>Cassandra Little</t>
  </si>
  <si>
    <t>Sean Smith</t>
  </si>
  <si>
    <t>Scott Weeks</t>
  </si>
  <si>
    <t>Daniel Fowler</t>
  </si>
  <si>
    <t>David Cortez</t>
  </si>
  <si>
    <t>Vanessa Fernandez</t>
  </si>
  <si>
    <t>Anthony Mcintyre</t>
  </si>
  <si>
    <t>Maria Cooper</t>
  </si>
  <si>
    <t>Eric Rice</t>
  </si>
  <si>
    <t>Meghan Nolan</t>
  </si>
  <si>
    <t>Paul Gardner</t>
  </si>
  <si>
    <t>Joshua Morris</t>
  </si>
  <si>
    <t>Katrina Miller</t>
  </si>
  <si>
    <t>Kevin Oconnell</t>
  </si>
  <si>
    <t>William Melendez</t>
  </si>
  <si>
    <t>Lauren Jordan</t>
  </si>
  <si>
    <t>Diane Horne</t>
  </si>
  <si>
    <t>Breanna Hanna</t>
  </si>
  <si>
    <t>Bonnie Gonzales</t>
  </si>
  <si>
    <t>Michael Zimmerman</t>
  </si>
  <si>
    <t>Nicholas Moran</t>
  </si>
  <si>
    <t>Joseph Johnson</t>
  </si>
  <si>
    <t>Jesse Stevens</t>
  </si>
  <si>
    <t>Deanna Valdez</t>
  </si>
  <si>
    <t>Christopher Gray</t>
  </si>
  <si>
    <t>Tiffany Smith</t>
  </si>
  <si>
    <t>George Grimes</t>
  </si>
  <si>
    <t>Tommy Rivera</t>
  </si>
  <si>
    <t>Julie James</t>
  </si>
  <si>
    <t>David Wright</t>
  </si>
  <si>
    <t>Meredith Vaughn</t>
  </si>
  <si>
    <t>Michael Harris</t>
  </si>
  <si>
    <t>Jasmine Clark</t>
  </si>
  <si>
    <t>Elizabeth Orozco</t>
  </si>
  <si>
    <t>Aaron Herrera</t>
  </si>
  <si>
    <t>Gregory Johnston</t>
  </si>
  <si>
    <t>Nicole Luna</t>
  </si>
  <si>
    <t>Hannah Dennis</t>
  </si>
  <si>
    <t>Kimberly Phillips</t>
  </si>
  <si>
    <t>Nancy Conley</t>
  </si>
  <si>
    <t>Mary Sutton</t>
  </si>
  <si>
    <t>Lori Williams</t>
  </si>
  <si>
    <t>Amy Guzman</t>
  </si>
  <si>
    <t>Deborah Reed</t>
  </si>
  <si>
    <t>Megan Peters</t>
  </si>
  <si>
    <t>Frank Tapia</t>
  </si>
  <si>
    <t>Hector Collins</t>
  </si>
  <si>
    <t>Brenda Kirk</t>
  </si>
  <si>
    <t>Jonathan Allen</t>
  </si>
  <si>
    <t>Kristen Jones</t>
  </si>
  <si>
    <t>Cheryl Jackson</t>
  </si>
  <si>
    <t>Tyler Potter</t>
  </si>
  <si>
    <t>Joseph Henry</t>
  </si>
  <si>
    <t>Thomas Bishop</t>
  </si>
  <si>
    <t>Jennifer Davis</t>
  </si>
  <si>
    <t>Mckenzie Wallace</t>
  </si>
  <si>
    <t>Mark Woodard</t>
  </si>
  <si>
    <t>Cody Dominguez</t>
  </si>
  <si>
    <t>Curtis Fields</t>
  </si>
  <si>
    <t>Julie Green</t>
  </si>
  <si>
    <t>Kathy Nielsen</t>
  </si>
  <si>
    <t>Robert Jackson</t>
  </si>
  <si>
    <t>Mandy Padilla</t>
  </si>
  <si>
    <t>Joseph Christensen</t>
  </si>
  <si>
    <t>Christian Allen</t>
  </si>
  <si>
    <t>Jason Proctor</t>
  </si>
  <si>
    <t>Kelsey Armstrong</t>
  </si>
  <si>
    <t>Kristin Porter</t>
  </si>
  <si>
    <t>Ronald Mcdonald</t>
  </si>
  <si>
    <t>Joseph Kim</t>
  </si>
  <si>
    <t>Morgan Mclaughlin</t>
  </si>
  <si>
    <t>Denise Price</t>
  </si>
  <si>
    <t>Elizabeth Alexander</t>
  </si>
  <si>
    <t>Brenda Wolf</t>
  </si>
  <si>
    <t>Christopher Jacobs</t>
  </si>
  <si>
    <t>Debbie Johnson</t>
  </si>
  <si>
    <t>Christina Wagner</t>
  </si>
  <si>
    <t>John Joseph</t>
  </si>
  <si>
    <t>Amanda Hobbs</t>
  </si>
  <si>
    <t>Fernando Adkins</t>
  </si>
  <si>
    <t>Nicole Moss</t>
  </si>
  <si>
    <t>Angela Williamson</t>
  </si>
  <si>
    <t>Justin Cannon</t>
  </si>
  <si>
    <t>Sara Tucker</t>
  </si>
  <si>
    <t>Denise Reynolds</t>
  </si>
  <si>
    <t>Sandra Hamilton</t>
  </si>
  <si>
    <t>Elizabeth Gomez</t>
  </si>
  <si>
    <t>Todd Wilkerson</t>
  </si>
  <si>
    <t>Andrew Peters</t>
  </si>
  <si>
    <t>Christopher Mclaughlin</t>
  </si>
  <si>
    <t>Jonathan Smith</t>
  </si>
  <si>
    <t>James Gregory</t>
  </si>
  <si>
    <t>Valerie Mason</t>
  </si>
  <si>
    <t>Jeffrey Campbell</t>
  </si>
  <si>
    <t>David Taylor</t>
  </si>
  <si>
    <t>Crystal Bowen</t>
  </si>
  <si>
    <t>Christine Wilson</t>
  </si>
  <si>
    <t>Christopher Vega</t>
  </si>
  <si>
    <t>Glenn Stevens</t>
  </si>
  <si>
    <t>Walter Williams</t>
  </si>
  <si>
    <t>Johnathan Gates</t>
  </si>
  <si>
    <t>Brandon Rojas</t>
  </si>
  <si>
    <t>Jared Foster</t>
  </si>
  <si>
    <t>Brandon Johnson</t>
  </si>
  <si>
    <t>Scott Hunter</t>
  </si>
  <si>
    <t>Matthew Bowers</t>
  </si>
  <si>
    <t>Louis Kramer</t>
  </si>
  <si>
    <t>Morgan Estes</t>
  </si>
  <si>
    <t>Eric Horn</t>
  </si>
  <si>
    <t>Virginia Garcia</t>
  </si>
  <si>
    <t>Christie Smith</t>
  </si>
  <si>
    <t>Ruben Gibson</t>
  </si>
  <si>
    <t>Deanna Clark</t>
  </si>
  <si>
    <t>Shannon Dawson</t>
  </si>
  <si>
    <t>Elizabeth Chambers</t>
  </si>
  <si>
    <t>Tiffany Jones</t>
  </si>
  <si>
    <t>Kevin Turner</t>
  </si>
  <si>
    <t>Timothy Guzman</t>
  </si>
  <si>
    <t>Tammy Underwood</t>
  </si>
  <si>
    <t>Joe Johnston</t>
  </si>
  <si>
    <t>David Keller</t>
  </si>
  <si>
    <t>Savannah Coleman</t>
  </si>
  <si>
    <t>Rhonda Jones</t>
  </si>
  <si>
    <t>Jose Mccarthy</t>
  </si>
  <si>
    <t>Leslie Pearson</t>
  </si>
  <si>
    <t>Christina Mendez</t>
  </si>
  <si>
    <t>Julie Contreras</t>
  </si>
  <si>
    <t>Curtis Walters</t>
  </si>
  <si>
    <t>Carla Patterson</t>
  </si>
  <si>
    <t>Levi Thompson</t>
  </si>
  <si>
    <t>Robert Fisher</t>
  </si>
  <si>
    <t>Alexandria Hicks</t>
  </si>
  <si>
    <t>Shelby Payne</t>
  </si>
  <si>
    <t>Lawrence Hernandez</t>
  </si>
  <si>
    <t>Judy Reed</t>
  </si>
  <si>
    <t>Haley Smith</t>
  </si>
  <si>
    <t>Kimberly Miller</t>
  </si>
  <si>
    <t>Michele Allen</t>
  </si>
  <si>
    <t>Angela Robertson</t>
  </si>
  <si>
    <t>Michael Mccann</t>
  </si>
  <si>
    <t>Timothy Winters</t>
  </si>
  <si>
    <t>William Cummings</t>
  </si>
  <si>
    <t>Richard Brown</t>
  </si>
  <si>
    <t>Alicia Santiago</t>
  </si>
  <si>
    <t>Jose Reese</t>
  </si>
  <si>
    <t>Lisa Smith</t>
  </si>
  <si>
    <t>Julia Ramsey</t>
  </si>
  <si>
    <t>Jennifer Hill</t>
  </si>
  <si>
    <t>Kimberly Gates</t>
  </si>
  <si>
    <t>Caitlin Huynh</t>
  </si>
  <si>
    <t>Rebecca Fields</t>
  </si>
  <si>
    <t>Gerald Patterson</t>
  </si>
  <si>
    <t>Robin Rowe</t>
  </si>
  <si>
    <t>Meagan Hall</t>
  </si>
  <si>
    <t>Michele Leon</t>
  </si>
  <si>
    <t>Susan Carter</t>
  </si>
  <si>
    <t>Pam Perez</t>
  </si>
  <si>
    <t>Kristen Cooper</t>
  </si>
  <si>
    <t>Amanda Parker</t>
  </si>
  <si>
    <t>Lee Allen</t>
  </si>
  <si>
    <t>Kyle Porter</t>
  </si>
  <si>
    <t>Elizabeth Drake</t>
  </si>
  <si>
    <t>Kelly Smith</t>
  </si>
  <si>
    <t>Rachel Rivera</t>
  </si>
  <si>
    <t>Holly Morton</t>
  </si>
  <si>
    <t>Tracy Dunn</t>
  </si>
  <si>
    <t>Gabriel Joyce</t>
  </si>
  <si>
    <t>Natalie Bates</t>
  </si>
  <si>
    <t>Ryan Lee</t>
  </si>
  <si>
    <t>Nicholas Daniels</t>
  </si>
  <si>
    <t>Kathleen Gray</t>
  </si>
  <si>
    <t>Crystal Hess</t>
  </si>
  <si>
    <t>Matthew Maynard</t>
  </si>
  <si>
    <t>Tammy Macdonald</t>
  </si>
  <si>
    <t>Justin Cain</t>
  </si>
  <si>
    <t>Nathan Zhang</t>
  </si>
  <si>
    <t>Brandy Murray</t>
  </si>
  <si>
    <t>Kyle Hernandez</t>
  </si>
  <si>
    <t>Patricia Hart</t>
  </si>
  <si>
    <t>William Simmons</t>
  </si>
  <si>
    <t>Gregory Murphy</t>
  </si>
  <si>
    <t>Shaun Hill</t>
  </si>
  <si>
    <t>Amanda Finley</t>
  </si>
  <si>
    <t>Alexis Mason</t>
  </si>
  <si>
    <t>Kristin Carter</t>
  </si>
  <si>
    <t>Margaret Henderson</t>
  </si>
  <si>
    <t>Deanna Mccarthy</t>
  </si>
  <si>
    <t>Paul Brewer</t>
  </si>
  <si>
    <t>Daniel Smith</t>
  </si>
  <si>
    <t>Samuel Brown</t>
  </si>
  <si>
    <t>Luis Allen</t>
  </si>
  <si>
    <t>Leslie Gomez</t>
  </si>
  <si>
    <t>Alec Mitchell</t>
  </si>
  <si>
    <t>Ricky Matthews</t>
  </si>
  <si>
    <t>Johnny Salas</t>
  </si>
  <si>
    <t>Jesse Bradley</t>
  </si>
  <si>
    <t>Joy Lloyd</t>
  </si>
  <si>
    <t>Katie Avila</t>
  </si>
  <si>
    <t>Jamie West</t>
  </si>
  <si>
    <t>Michael Hawkins</t>
  </si>
  <si>
    <t>Angela Moss</t>
  </si>
  <si>
    <t>Mary Harper</t>
  </si>
  <si>
    <t>Steven Conley</t>
  </si>
  <si>
    <t>Mary Underwood</t>
  </si>
  <si>
    <t>Kimberly Gomez</t>
  </si>
  <si>
    <t>Gary Stanton</t>
  </si>
  <si>
    <t>Jon Guerrero</t>
  </si>
  <si>
    <t>Chad Perez</t>
  </si>
  <si>
    <t>Connie Flores</t>
  </si>
  <si>
    <t>Ashley Johnson</t>
  </si>
  <si>
    <t>Lisa Lopez</t>
  </si>
  <si>
    <t>Larry Rose</t>
  </si>
  <si>
    <t>Mario Barr</t>
  </si>
  <si>
    <t>Barry Grimes</t>
  </si>
  <si>
    <t>Charles Zuniga</t>
  </si>
  <si>
    <t>Justin Huang</t>
  </si>
  <si>
    <t>Tyler Rodriguez</t>
  </si>
  <si>
    <t>Tina Hopkins</t>
  </si>
  <si>
    <t>Nicholas Hawkins</t>
  </si>
  <si>
    <t>Veronica Mason</t>
  </si>
  <si>
    <t>Tyler Jensen</t>
  </si>
  <si>
    <t>Janet Bryan</t>
  </si>
  <si>
    <t>Howard Elliott</t>
  </si>
  <si>
    <t>Derrick Aguilar</t>
  </si>
  <si>
    <t>Mary Lee</t>
  </si>
  <si>
    <t>Thomas Diaz</t>
  </si>
  <si>
    <t>Dennis Harmon</t>
  </si>
  <si>
    <t>Haley Green</t>
  </si>
  <si>
    <t>Adrian Davis</t>
  </si>
  <si>
    <t>Andrea Lewis</t>
  </si>
  <si>
    <t>Michael Estrada</t>
  </si>
  <si>
    <t>Michael Johnson</t>
  </si>
  <si>
    <t>Robin Ortega</t>
  </si>
  <si>
    <t>Amy Rodriguez</t>
  </si>
  <si>
    <t>Kelly Wolf</t>
  </si>
  <si>
    <t>Christopher Robinson</t>
  </si>
  <si>
    <t>Richard Thomas</t>
  </si>
  <si>
    <t>Jennifer Smith</t>
  </si>
  <si>
    <t>Gabriel Gibson</t>
  </si>
  <si>
    <t>Alyssa Cunningham</t>
  </si>
  <si>
    <t>Matthew West</t>
  </si>
  <si>
    <t>Tara Cole</t>
  </si>
  <si>
    <t>Brittany Richard</t>
  </si>
  <si>
    <t>Evan Miller</t>
  </si>
  <si>
    <t>Casey Davis</t>
  </si>
  <si>
    <t>Molly Watts</t>
  </si>
  <si>
    <t>Lori Key</t>
  </si>
  <si>
    <t>Christina Rasmussen</t>
  </si>
  <si>
    <t>Joseph Herrera</t>
  </si>
  <si>
    <t>Jacqueline Short</t>
  </si>
  <si>
    <t>Tammy Mckee</t>
  </si>
  <si>
    <t>Andre Benson</t>
  </si>
  <si>
    <t>Karen Harrington</t>
  </si>
  <si>
    <t>Amy Woodward</t>
  </si>
  <si>
    <t>Gloria Jensen</t>
  </si>
  <si>
    <t>Sons Reyes</t>
  </si>
  <si>
    <t>Kemp-Munoz</t>
  </si>
  <si>
    <t>Kelly-Allen</t>
  </si>
  <si>
    <t>West-Young</t>
  </si>
  <si>
    <t>Oliver Plc</t>
  </si>
  <si>
    <t>Lee-Clayton</t>
  </si>
  <si>
    <t>Clark-Tran</t>
  </si>
  <si>
    <t>Duran Sons</t>
  </si>
  <si>
    <t>Vaughan Parker And Wagner</t>
  </si>
  <si>
    <t>Lewis And Sons</t>
  </si>
  <si>
    <t>Wright Long Schroeder</t>
  </si>
  <si>
    <t>Carter-Camacho</t>
  </si>
  <si>
    <t>Smith Brown Wallace</t>
  </si>
  <si>
    <t>Mack Wilson And Fowler</t>
  </si>
  <si>
    <t>Patterson-Lee</t>
  </si>
  <si>
    <t>Cherry Inc</t>
  </si>
  <si>
    <t>Rangel Inc</t>
  </si>
  <si>
    <t>Sutton Plc</t>
  </si>
  <si>
    <t>Ward-Mayer</t>
  </si>
  <si>
    <t>Williams-Saunders</t>
  </si>
  <si>
    <t>Spencer Ltd</t>
  </si>
  <si>
    <t>Avery And Sons</t>
  </si>
  <si>
    <t>Smith And Rose Rivera</t>
  </si>
  <si>
    <t>Gonzalez Llc</t>
  </si>
  <si>
    <t>Bell Ltd</t>
  </si>
  <si>
    <t>Simpson Espinoza And Thompson</t>
  </si>
  <si>
    <t>Diaz Inc</t>
  </si>
  <si>
    <t>Reed Valdez And Pratt</t>
  </si>
  <si>
    <t>Adams-Kim</t>
  </si>
  <si>
    <t>Garrett Plc</t>
  </si>
  <si>
    <t>Smith-Smith</t>
  </si>
  <si>
    <t>Bell-Thomas</t>
  </si>
  <si>
    <t>Thompson-Thomas</t>
  </si>
  <si>
    <t>Anderson Inc</t>
  </si>
  <si>
    <t>Warren Wood Miller</t>
  </si>
  <si>
    <t>Curry Miller And Padilla</t>
  </si>
  <si>
    <t>Riley Erickson And Cunningham</t>
  </si>
  <si>
    <t>Wagner-Herrera</t>
  </si>
  <si>
    <t>Davis Inc</t>
  </si>
  <si>
    <t>Parker-Hodges</t>
  </si>
  <si>
    <t>Brooks Nguyen Sellers</t>
  </si>
  <si>
    <t>Adams Plc</t>
  </si>
  <si>
    <t>Gill And Casey Martinez</t>
  </si>
  <si>
    <t>Lopez Rodriguez Hodges</t>
  </si>
  <si>
    <t>Riddle Llc</t>
  </si>
  <si>
    <t>Vasquez-Carr</t>
  </si>
  <si>
    <t>Burns-Smith</t>
  </si>
  <si>
    <t>Shaw Taylor And Khan</t>
  </si>
  <si>
    <t>Powell-Nelson</t>
  </si>
  <si>
    <t>Taylor Hughes And Smith</t>
  </si>
  <si>
    <t>Joseph Inc</t>
  </si>
  <si>
    <t>Duran Navarro Torres</t>
  </si>
  <si>
    <t>Jackson Byrd Wilkerson</t>
  </si>
  <si>
    <t>Martinez Inc</t>
  </si>
  <si>
    <t>Rice Wheeler Jennings</t>
  </si>
  <si>
    <t>Clarke-King</t>
  </si>
  <si>
    <t>Brown-Young</t>
  </si>
  <si>
    <t>Martinez-Gonzalez</t>
  </si>
  <si>
    <t>Lee-Bridges</t>
  </si>
  <si>
    <t>Wong Plc</t>
  </si>
  <si>
    <t>Williams Inc</t>
  </si>
  <si>
    <t>Moses-Randall</t>
  </si>
  <si>
    <t>Davis Plc</t>
  </si>
  <si>
    <t>Nguyen Llc</t>
  </si>
  <si>
    <t>Gonzalez And Meyers Johnson</t>
  </si>
  <si>
    <t>Mendoza Llc</t>
  </si>
  <si>
    <t>Carson-Johnson</t>
  </si>
  <si>
    <t>Sanford And Jones Martinez</t>
  </si>
  <si>
    <t>Johnson-Williams</t>
  </si>
  <si>
    <t>Jenkins-James</t>
  </si>
  <si>
    <t>Alvarez Clark And Francis</t>
  </si>
  <si>
    <t>Flores Sharp Ross</t>
  </si>
  <si>
    <t>Parsons-Martinez</t>
  </si>
  <si>
    <t>Sons And Flores</t>
  </si>
  <si>
    <t>Williams-Cruz</t>
  </si>
  <si>
    <t>Campbell-Bridges</t>
  </si>
  <si>
    <t>Lewis Thomas Carter</t>
  </si>
  <si>
    <t>Kelley Harris And Welch</t>
  </si>
  <si>
    <t>May Plc</t>
  </si>
  <si>
    <t>Weber-Browning</t>
  </si>
  <si>
    <t>May Douglas Perry</t>
  </si>
  <si>
    <t>Anderson-Silva</t>
  </si>
  <si>
    <t>Wyatt-Alexander</t>
  </si>
  <si>
    <t>Simpson Group</t>
  </si>
  <si>
    <t>Hunter Plc</t>
  </si>
  <si>
    <t>Peterson Ltd</t>
  </si>
  <si>
    <t>Tran Miller Lee</t>
  </si>
  <si>
    <t>Grant-Hall</t>
  </si>
  <si>
    <t>Reid Osborne Weeks</t>
  </si>
  <si>
    <t>Parker-Newton</t>
  </si>
  <si>
    <t>Davis Wood Kemp</t>
  </si>
  <si>
    <t>Allen And Duncan Wright</t>
  </si>
  <si>
    <t>Schneider Olson Rodriguez</t>
  </si>
  <si>
    <t>Mccarthy Ltd</t>
  </si>
  <si>
    <t>Pierce-Navarro</t>
  </si>
  <si>
    <t>Griffin-Thomas</t>
  </si>
  <si>
    <t>Green Llc</t>
  </si>
  <si>
    <t>Sons And Conley</t>
  </si>
  <si>
    <t>Wilson Wright Ryan</t>
  </si>
  <si>
    <t>Jimenez Copeland Franklin</t>
  </si>
  <si>
    <t>Jones-Rodriguez</t>
  </si>
  <si>
    <t>Burke-Johnston</t>
  </si>
  <si>
    <t>Shaffer Williams Leon</t>
  </si>
  <si>
    <t>Weaver-Robinson</t>
  </si>
  <si>
    <t>Torres And Brock Watson</t>
  </si>
  <si>
    <t>Mills Johnson Wilson</t>
  </si>
  <si>
    <t>Olsen Edwards And Williams</t>
  </si>
  <si>
    <t>Vazquez-Smith</t>
  </si>
  <si>
    <t>Howard Schroeder Williams</t>
  </si>
  <si>
    <t>Thompson Pratt Williams</t>
  </si>
  <si>
    <t>Dunn-Figueroa</t>
  </si>
  <si>
    <t>Harris-Benitez</t>
  </si>
  <si>
    <t>Cox Plc</t>
  </si>
  <si>
    <t>Hood Sons</t>
  </si>
  <si>
    <t>Salazar And Robinson Miller</t>
  </si>
  <si>
    <t>Carlson Llc</t>
  </si>
  <si>
    <t>Pugh-Horton</t>
  </si>
  <si>
    <t>Gray-Bond</t>
  </si>
  <si>
    <t>Smith Jordan Rodriguez</t>
  </si>
  <si>
    <t>Figueroa And Sons</t>
  </si>
  <si>
    <t>Rogers Plc</t>
  </si>
  <si>
    <t>Rodriguez Robinson Johnson</t>
  </si>
  <si>
    <t>Golden Sons</t>
  </si>
  <si>
    <t>Pittman Group</t>
  </si>
  <si>
    <t>Reyes-Diaz</t>
  </si>
  <si>
    <t>Pena-Griffin</t>
  </si>
  <si>
    <t>Henson Group</t>
  </si>
  <si>
    <t>Khan-Franklin</t>
  </si>
  <si>
    <t>Rangel Anderson And Snyder</t>
  </si>
  <si>
    <t>Morrison And Andrews Foley</t>
  </si>
  <si>
    <t>Sons Velasquez</t>
  </si>
  <si>
    <t>Perez And Sons</t>
  </si>
  <si>
    <t>Mcgee-Lopez</t>
  </si>
  <si>
    <t>Fisher Doyle Kennedy</t>
  </si>
  <si>
    <t>Burns Shields Elliott</t>
  </si>
  <si>
    <t>Parsons-Villa</t>
  </si>
  <si>
    <t>Williams Plc</t>
  </si>
  <si>
    <t>Hernandez Ltd</t>
  </si>
  <si>
    <t>Lewis Llc</t>
  </si>
  <si>
    <t>Paul Maxwell Sanchez</t>
  </si>
  <si>
    <t>Bonilla And Miller Jackson</t>
  </si>
  <si>
    <t>Cummings Davis Pierce</t>
  </si>
  <si>
    <t>Hood Goodwin Campos</t>
  </si>
  <si>
    <t>Williams Perkins And Watkins</t>
  </si>
  <si>
    <t>White-Green</t>
  </si>
  <si>
    <t>Evans-Flores</t>
  </si>
  <si>
    <t>Spencer Inc</t>
  </si>
  <si>
    <t>Martinez-Lee</t>
  </si>
  <si>
    <t>Miller And Tapia White</t>
  </si>
  <si>
    <t>Moreno-Mccormick</t>
  </si>
  <si>
    <t>Thompson Plc</t>
  </si>
  <si>
    <t>Baker Group</t>
  </si>
  <si>
    <t>Ramirez Johnson Day</t>
  </si>
  <si>
    <t>Davis-Bates</t>
  </si>
  <si>
    <t>Hoover Gibson And Jones</t>
  </si>
  <si>
    <t>Gregory-Chandler</t>
  </si>
  <si>
    <t>Weaver-Hernandez</t>
  </si>
  <si>
    <t>Salinas Inc</t>
  </si>
  <si>
    <t>Williams Day Tyler</t>
  </si>
  <si>
    <t>Martinez And Hughes Malone</t>
  </si>
  <si>
    <t>Mathis-Cruz</t>
  </si>
  <si>
    <t>Jimenez Ltd</t>
  </si>
  <si>
    <t>Shepard And Walker Guerra</t>
  </si>
  <si>
    <t>Owens Hansen Allen</t>
  </si>
  <si>
    <t>Beck Llc</t>
  </si>
  <si>
    <t>Lee Conner And Bradley</t>
  </si>
  <si>
    <t>Gray Russo Williams</t>
  </si>
  <si>
    <t>Barnes And Taylor Graham</t>
  </si>
  <si>
    <t>Farley And Ortiz Martinez</t>
  </si>
  <si>
    <t>Oconnor-Ware</t>
  </si>
  <si>
    <t>Garcia And Moore Collins</t>
  </si>
  <si>
    <t>Cantu-Davis</t>
  </si>
  <si>
    <t>Pace Group</t>
  </si>
  <si>
    <t>Munoz Choi Owen</t>
  </si>
  <si>
    <t>Conley Llc</t>
  </si>
  <si>
    <t>White Group</t>
  </si>
  <si>
    <t>Sons Barnett</t>
  </si>
  <si>
    <t>Gill Plc</t>
  </si>
  <si>
    <t>Herring-Norman</t>
  </si>
  <si>
    <t>Sons Griffin</t>
  </si>
  <si>
    <t>Baker-Hamilton</t>
  </si>
  <si>
    <t>Price-Moore</t>
  </si>
  <si>
    <t>Lewis Ltd</t>
  </si>
  <si>
    <t>Burch-Friedman</t>
  </si>
  <si>
    <t>Kramer-Hogan</t>
  </si>
  <si>
    <t>Weber And Sons</t>
  </si>
  <si>
    <t>Wright Rios Ellis</t>
  </si>
  <si>
    <t>Henderson Ltd</t>
  </si>
  <si>
    <t>Kramer Morris Chang</t>
  </si>
  <si>
    <t>Escobar And Landry Robinson</t>
  </si>
  <si>
    <t>Smith Inc</t>
  </si>
  <si>
    <t>Hoffman Plc</t>
  </si>
  <si>
    <t>Potter And Romero Mcguire</t>
  </si>
  <si>
    <t>Fernandez Plc</t>
  </si>
  <si>
    <t>Harris-Martinez</t>
  </si>
  <si>
    <t>Parrish-Rivera</t>
  </si>
  <si>
    <t>Gordon Burton And Thompson</t>
  </si>
  <si>
    <t>Lyons-Young</t>
  </si>
  <si>
    <t>Williams Torres And Bell</t>
  </si>
  <si>
    <t>Ramsey-Jordan</t>
  </si>
  <si>
    <t>Foster Phillips Abbott</t>
  </si>
  <si>
    <t>Davidson Richards And Grant</t>
  </si>
  <si>
    <t>Lopez-Turner</t>
  </si>
  <si>
    <t>Greene Plc</t>
  </si>
  <si>
    <t>Pittman-Bush</t>
  </si>
  <si>
    <t>Johnson-Bryan</t>
  </si>
  <si>
    <t>Eaton-Grimes</t>
  </si>
  <si>
    <t>Suarez-Anderson</t>
  </si>
  <si>
    <t>Gonzalez And Brown Monroe</t>
  </si>
  <si>
    <t>Jordan And Espinoza Garrett</t>
  </si>
  <si>
    <t>Richard And Watson Boyd</t>
  </si>
  <si>
    <t>Foster Inc</t>
  </si>
  <si>
    <t>Baldwin Ltd</t>
  </si>
  <si>
    <t>Wilson Group</t>
  </si>
  <si>
    <t>Allen Bryant Carlson</t>
  </si>
  <si>
    <t>Taylor-Smith</t>
  </si>
  <si>
    <t>Lopez-Torres</t>
  </si>
  <si>
    <t>Bender-Johnson</t>
  </si>
  <si>
    <t>Lara Martinez Black</t>
  </si>
  <si>
    <t>Hatfield And Gibson Harris</t>
  </si>
  <si>
    <t>James Llc</t>
  </si>
  <si>
    <t>Drake Inc</t>
  </si>
  <si>
    <t>Smith-Bradshaw</t>
  </si>
  <si>
    <t>Mitchell-Rogers</t>
  </si>
  <si>
    <t>Scott Group</t>
  </si>
  <si>
    <t>Montes Vaughan And Bell</t>
  </si>
  <si>
    <t>Scott Jackson Montgomery</t>
  </si>
  <si>
    <t>Smith Llc</t>
  </si>
  <si>
    <t>Little Roberts Watson</t>
  </si>
  <si>
    <t>Lopez And Colon Garza</t>
  </si>
  <si>
    <t>Saunders Hughes Alvarado</t>
  </si>
  <si>
    <t>Patrick And Guerrero Garcia</t>
  </si>
  <si>
    <t>Wiggins Inc</t>
  </si>
  <si>
    <t>Lopez Jordan Clark</t>
  </si>
  <si>
    <t>Turner-Glover</t>
  </si>
  <si>
    <t>Barnett Plc</t>
  </si>
  <si>
    <t>Martinez And Lee Oliver</t>
  </si>
  <si>
    <t>Russell-Gardner</t>
  </si>
  <si>
    <t>Allen-Scott</t>
  </si>
  <si>
    <t>Mays-Boone</t>
  </si>
  <si>
    <t>Sons And Lynch</t>
  </si>
  <si>
    <t>Miller Inc</t>
  </si>
  <si>
    <t>Harris-Marshall</t>
  </si>
  <si>
    <t>Owens Sons</t>
  </si>
  <si>
    <t>Wallace Plc</t>
  </si>
  <si>
    <t>Roberts-Johnson</t>
  </si>
  <si>
    <t>May-Chambers</t>
  </si>
  <si>
    <t>Rowe And Cox Collins</t>
  </si>
  <si>
    <t>Nelson-Bowman</t>
  </si>
  <si>
    <t>Watson Watts Boyd</t>
  </si>
  <si>
    <t>Phillips Plc</t>
  </si>
  <si>
    <t>Hart Group</t>
  </si>
  <si>
    <t>Mora And Hatfield Koch</t>
  </si>
  <si>
    <t>Clark Llc</t>
  </si>
  <si>
    <t>King Inc</t>
  </si>
  <si>
    <t>Roach And James Murray</t>
  </si>
  <si>
    <t>Allen Taylor Bennett</t>
  </si>
  <si>
    <t>Fields-Weber</t>
  </si>
  <si>
    <t>Owens Bailey Rivera</t>
  </si>
  <si>
    <t>Wood Ryan And Mckinney</t>
  </si>
  <si>
    <t>Gallagher Inc</t>
  </si>
  <si>
    <t>Cisneros Phillips And Rivera</t>
  </si>
  <si>
    <t>Jacobs Robinson Nelson</t>
  </si>
  <si>
    <t>Blake Humphrey And Matthews</t>
  </si>
  <si>
    <t>Reese-Williams</t>
  </si>
  <si>
    <t>Pham-Lester</t>
  </si>
  <si>
    <t>Stone-Montgomery</t>
  </si>
  <si>
    <t>Richardson And Miller Clark</t>
  </si>
  <si>
    <t>Adams Morgan Livingston</t>
  </si>
  <si>
    <t>Brown Farrell And Mann</t>
  </si>
  <si>
    <t>Wheeler-Wong</t>
  </si>
  <si>
    <t>Lowe-Rhodes</t>
  </si>
  <si>
    <t>Lopez And Wells Farrell</t>
  </si>
  <si>
    <t>Mcclure-Cline</t>
  </si>
  <si>
    <t>White And Thomas Clark</t>
  </si>
  <si>
    <t>Rhodes Sons</t>
  </si>
  <si>
    <t>Cobb-Zimmerman</t>
  </si>
  <si>
    <t>Pollard Oconnell Wells</t>
  </si>
  <si>
    <t>Gallagher-Christian</t>
  </si>
  <si>
    <t>Morales-Williams</t>
  </si>
  <si>
    <t>Patel Reynolds And James</t>
  </si>
  <si>
    <t>Davis Walker Archer</t>
  </si>
  <si>
    <t>Gillespie-Escobar</t>
  </si>
  <si>
    <t>Adams-Henry</t>
  </si>
  <si>
    <t>Snyder Cameron Adams</t>
  </si>
  <si>
    <t>Leblanc And Phillips Ramirez</t>
  </si>
  <si>
    <t>Gay Inc</t>
  </si>
  <si>
    <t>Mendoza Mathews Holloway</t>
  </si>
  <si>
    <t>Morris Group</t>
  </si>
  <si>
    <t>Banks Molina Moody</t>
  </si>
  <si>
    <t>Reyes Plc</t>
  </si>
  <si>
    <t>Wright And Riddle Jenkins</t>
  </si>
  <si>
    <t>Hawkins-Long</t>
  </si>
  <si>
    <t>Pearson Plc</t>
  </si>
  <si>
    <t>Walker Plc</t>
  </si>
  <si>
    <t>Holt Sons</t>
  </si>
  <si>
    <t>Freeman And Brown Haney</t>
  </si>
  <si>
    <t>Cannon Plc</t>
  </si>
  <si>
    <t>Cline-Watson</t>
  </si>
  <si>
    <t>Rollins-Peterson</t>
  </si>
  <si>
    <t>Chavez-Williamson</t>
  </si>
  <si>
    <t>Porter-Patterson</t>
  </si>
  <si>
    <t>Robles Llc</t>
  </si>
  <si>
    <t>Gonzalez Ltd</t>
  </si>
  <si>
    <t>Simpson And Lane Evans</t>
  </si>
  <si>
    <t>Campbell-Arroyo</t>
  </si>
  <si>
    <t>Cochran Plc</t>
  </si>
  <si>
    <t>Smith Gomez Green</t>
  </si>
  <si>
    <t>Roberts Group</t>
  </si>
  <si>
    <t>Rangel Ltd</t>
  </si>
  <si>
    <t>Wright Williams Benjamin</t>
  </si>
  <si>
    <t>Smith Rodriguez And Watts</t>
  </si>
  <si>
    <t>Byrd And Hughes Johnson</t>
  </si>
  <si>
    <t>Dougherty Group</t>
  </si>
  <si>
    <t>Waters Plc</t>
  </si>
  <si>
    <t>Sanford Group</t>
  </si>
  <si>
    <t>Herrera Group</t>
  </si>
  <si>
    <t>White Roy Dunlap</t>
  </si>
  <si>
    <t>Castaneda Mccarty Patterson</t>
  </si>
  <si>
    <t>Brady Llc</t>
  </si>
  <si>
    <t>Long And Ramirez Mata</t>
  </si>
  <si>
    <t>Morgan-Garrett</t>
  </si>
  <si>
    <t>Burgess Ltd</t>
  </si>
  <si>
    <t>Baker Taylor Wilson</t>
  </si>
  <si>
    <t>Taylor-Sanders</t>
  </si>
  <si>
    <t>Cole Inc</t>
  </si>
  <si>
    <t>Snyder Llc</t>
  </si>
  <si>
    <t>Buckley-Smith</t>
  </si>
  <si>
    <t>Ashley Decker Hays</t>
  </si>
  <si>
    <t>Thomas-Hensley</t>
  </si>
  <si>
    <t>Becker Ltd</t>
  </si>
  <si>
    <t>Foster Sons</t>
  </si>
  <si>
    <t>Jackson Group</t>
  </si>
  <si>
    <t>Brown And Duran Fox</t>
  </si>
  <si>
    <t>Waters Group</t>
  </si>
  <si>
    <t>Jackson-Hernandez</t>
  </si>
  <si>
    <t>Griffin Llc</t>
  </si>
  <si>
    <t>Reed-Pratt</t>
  </si>
  <si>
    <t>Sanchez-Brown</t>
  </si>
  <si>
    <t>Bailey Plc</t>
  </si>
  <si>
    <t>Sons Wise</t>
  </si>
  <si>
    <t>Shepherd Greene And Molina</t>
  </si>
  <si>
    <t>Wheeler-Miller</t>
  </si>
  <si>
    <t>Dillon Inc</t>
  </si>
  <si>
    <t>Weeks-Harris</t>
  </si>
  <si>
    <t>Underwood Young And Griffith</t>
  </si>
  <si>
    <t>Turner-Mcguire</t>
  </si>
  <si>
    <t>Sons Parker</t>
  </si>
  <si>
    <t>Martinez Brown Trevino</t>
  </si>
  <si>
    <t>Warren And Sons</t>
  </si>
  <si>
    <t>Le-Watson</t>
  </si>
  <si>
    <t>King Sons</t>
  </si>
  <si>
    <t>Sons Gillespie</t>
  </si>
  <si>
    <t>Santos Llc</t>
  </si>
  <si>
    <t>Hancock Sons</t>
  </si>
  <si>
    <t>Singh Cook Meyers</t>
  </si>
  <si>
    <t>Anderson-Mckee</t>
  </si>
  <si>
    <t>Sons Norman</t>
  </si>
  <si>
    <t>Clark And Scott Benjamin</t>
  </si>
  <si>
    <t>Conner-Carter</t>
  </si>
  <si>
    <t>Mitchell-Campbell</t>
  </si>
  <si>
    <t>Terry Preston Ross</t>
  </si>
  <si>
    <t>Harris And Murray Brown</t>
  </si>
  <si>
    <t>Owens Byrd Turner</t>
  </si>
  <si>
    <t>Atkinson Hernandez Montoya</t>
  </si>
  <si>
    <t>Schneider Group</t>
  </si>
  <si>
    <t>Berg Martin And Gonzalez</t>
  </si>
  <si>
    <t>Moore Young Campbell</t>
  </si>
  <si>
    <t>Campbell Ltd</t>
  </si>
  <si>
    <t>Hernandez-Wallace</t>
  </si>
  <si>
    <t>Bennett Benson Rodriguez</t>
  </si>
  <si>
    <t>Anderson And Fernandez Burns</t>
  </si>
  <si>
    <t>Luna-Henry</t>
  </si>
  <si>
    <t>Fuentes Werner Neal</t>
  </si>
  <si>
    <t>Scott-Rowland</t>
  </si>
  <si>
    <t>Chapman Inc</t>
  </si>
  <si>
    <t>Turner Plc</t>
  </si>
  <si>
    <t>Brown Group</t>
  </si>
  <si>
    <t>Atkins Ltd</t>
  </si>
  <si>
    <t>Burton Robertson Wilson</t>
  </si>
  <si>
    <t>Lara-Alexander</t>
  </si>
  <si>
    <t>Rogers-Weber</t>
  </si>
  <si>
    <t>Williams-Flores</t>
  </si>
  <si>
    <t>Walters Thomas White</t>
  </si>
  <si>
    <t>Patterson-Hopkins</t>
  </si>
  <si>
    <t>Brown Armstrong Holmes</t>
  </si>
  <si>
    <t>Harmon Murillo Black</t>
  </si>
  <si>
    <t>Taylor Ramirez Ross</t>
  </si>
  <si>
    <t>Bishop And Sons</t>
  </si>
  <si>
    <t>Stein-Anderson</t>
  </si>
  <si>
    <t>Wagner-Jensen</t>
  </si>
  <si>
    <t>Cameron-Lawson</t>
  </si>
  <si>
    <t>Sons Wood</t>
  </si>
  <si>
    <t>Smith Cox And Burnett</t>
  </si>
  <si>
    <t>Wilkins-Taylor</t>
  </si>
  <si>
    <t>Jenkins Sanchez Patterson</t>
  </si>
  <si>
    <t>Medina Gross Terrell</t>
  </si>
  <si>
    <t>Hernandez Group</t>
  </si>
  <si>
    <t>Dominguez Sons</t>
  </si>
  <si>
    <t>Williams-Peterson</t>
  </si>
  <si>
    <t>Medina-Murray</t>
  </si>
  <si>
    <t>Miles-Arias</t>
  </si>
  <si>
    <t>Williamson Plc</t>
  </si>
  <si>
    <t>Cole-Burke</t>
  </si>
  <si>
    <t>Smith-Kelly</t>
  </si>
  <si>
    <t>Hart Plc</t>
  </si>
  <si>
    <t>Hamilton Bell Sanchez</t>
  </si>
  <si>
    <t>Lewis Hernandez Harrison</t>
  </si>
  <si>
    <t>Flores Hanson And Bryan</t>
  </si>
  <si>
    <t>Farley Payne And Walker</t>
  </si>
  <si>
    <t>Hanson-Warner</t>
  </si>
  <si>
    <t>Miller Burns Myers</t>
  </si>
  <si>
    <t>Smith Plc</t>
  </si>
  <si>
    <t>Wilson Plc</t>
  </si>
  <si>
    <t>Harris-Miller</t>
  </si>
  <si>
    <t>Hutchinson-Nguyen</t>
  </si>
  <si>
    <t>Price And Lawrence Garcia</t>
  </si>
  <si>
    <t>Benson-Flores</t>
  </si>
  <si>
    <t>Campos Llc</t>
  </si>
  <si>
    <t>Tran Brown And Smith</t>
  </si>
  <si>
    <t>Graham Llc</t>
  </si>
  <si>
    <t>Woods Ltd</t>
  </si>
  <si>
    <t>Baxter Llc</t>
  </si>
  <si>
    <t>Peters Llc</t>
  </si>
  <si>
    <t>Stanton Plc</t>
  </si>
  <si>
    <t>Brown Jones And Smith</t>
  </si>
  <si>
    <t>Patterson Long And Nolan</t>
  </si>
  <si>
    <t>Stevens-Miller</t>
  </si>
  <si>
    <t>Vazquez Sanders And Mcdonald</t>
  </si>
  <si>
    <t>Martin-Perkins</t>
  </si>
  <si>
    <t>Hines-Frazier</t>
  </si>
  <si>
    <t>Jordan-Benitez</t>
  </si>
  <si>
    <t>Wilson-Hensley</t>
  </si>
  <si>
    <t>Figueroa-Young</t>
  </si>
  <si>
    <t>Mcgrath Anderson Adams</t>
  </si>
  <si>
    <t>James Miller Smith</t>
  </si>
  <si>
    <t>Gould-Reyes</t>
  </si>
  <si>
    <t>English-Hale</t>
  </si>
  <si>
    <t>Rhodes-Young</t>
  </si>
  <si>
    <t>Thomas Group</t>
  </si>
  <si>
    <t>Scott And Jones Adams</t>
  </si>
  <si>
    <t>Riggs-Gardner</t>
  </si>
  <si>
    <t>Richards Llc</t>
  </si>
  <si>
    <t>Hill-Ashley</t>
  </si>
  <si>
    <t>Ray-Chang</t>
  </si>
  <si>
    <t>Green Mills And Mays</t>
  </si>
  <si>
    <t>Mitchell-Williams</t>
  </si>
  <si>
    <t>Berger-Schaefer</t>
  </si>
  <si>
    <t>White Morris And Clements</t>
  </si>
  <si>
    <t>Ferrell-Hill</t>
  </si>
  <si>
    <t>Chandler And Smith Cohen</t>
  </si>
  <si>
    <t>Gonzales Anderson Rios</t>
  </si>
  <si>
    <t>Bryan Bradley Rangel</t>
  </si>
  <si>
    <t>Carpenter Inc</t>
  </si>
  <si>
    <t>Duran-Durham</t>
  </si>
  <si>
    <t>Stephens Inc</t>
  </si>
  <si>
    <t>Morton Lee And Hernandez</t>
  </si>
  <si>
    <t>Stewart And Raymond Martinez</t>
  </si>
  <si>
    <t>Wright Plc</t>
  </si>
  <si>
    <t>Daniel Inc</t>
  </si>
  <si>
    <t>Ryan Llc</t>
  </si>
  <si>
    <t>Barnett And Wilkerson Davis</t>
  </si>
  <si>
    <t>Brown And Sons</t>
  </si>
  <si>
    <t>Robinson Inc</t>
  </si>
  <si>
    <t>Foley Smith Morrison</t>
  </si>
  <si>
    <t>Perez-Keller</t>
  </si>
  <si>
    <t>Strong Levy Adams</t>
  </si>
  <si>
    <t>Hernandez Cruz Hull</t>
  </si>
  <si>
    <t>Pearson Group</t>
  </si>
  <si>
    <t>Jimenez Wade And King</t>
  </si>
  <si>
    <t>Maldonado Llc</t>
  </si>
  <si>
    <t>Diaz-Case</t>
  </si>
  <si>
    <t>Clark-Adams</t>
  </si>
  <si>
    <t>Walters Davis And Harrington</t>
  </si>
  <si>
    <t>Escobar Group</t>
  </si>
  <si>
    <t>Reynolds-Hartman</t>
  </si>
  <si>
    <t>Smith And Sons</t>
  </si>
  <si>
    <t>Turner Williams Hall</t>
  </si>
  <si>
    <t>Williams Butler Knight</t>
  </si>
  <si>
    <t>Murphy Plc</t>
  </si>
  <si>
    <t>Collins Llc</t>
  </si>
  <si>
    <t>Lee Matthews Davis</t>
  </si>
  <si>
    <t>Williams-Anthony</t>
  </si>
  <si>
    <t>George-Walker</t>
  </si>
  <si>
    <t>Medina-Roman</t>
  </si>
  <si>
    <t>Hernandez Bowen Castillo</t>
  </si>
  <si>
    <t>Ramos And Johnson Morris</t>
  </si>
  <si>
    <t>Wilson-Ross</t>
  </si>
  <si>
    <t>Miller-Roy</t>
  </si>
  <si>
    <t>Snow Sons</t>
  </si>
  <si>
    <t>Patel Barnes Goodwin</t>
  </si>
  <si>
    <t>Powell-Singleton</t>
  </si>
  <si>
    <t>Newman Inc</t>
  </si>
  <si>
    <t>Walker And Sons</t>
  </si>
  <si>
    <t>Aguirre-Edwards</t>
  </si>
  <si>
    <t>Jackson Johnson Anderson</t>
  </si>
  <si>
    <t>Yates Inc</t>
  </si>
  <si>
    <t>Williams-Travis</t>
  </si>
  <si>
    <t>Price-Jackson</t>
  </si>
  <si>
    <t>Brady And Johnson Perez</t>
  </si>
  <si>
    <t>Mcconnell And Roach Mitchell</t>
  </si>
  <si>
    <t>Cummings-Norman</t>
  </si>
  <si>
    <t>Austin Group</t>
  </si>
  <si>
    <t>Harris Burton Richardson</t>
  </si>
  <si>
    <t>Harris And Rodriguez Chen</t>
  </si>
  <si>
    <t>Miller Clark Massey</t>
  </si>
  <si>
    <t>Hubbard Bell Sanchez</t>
  </si>
  <si>
    <t>Cline Inc</t>
  </si>
  <si>
    <t>Ramirez Sons</t>
  </si>
  <si>
    <t>Davenport-Bentley</t>
  </si>
  <si>
    <t>Rasmussen Plc</t>
  </si>
  <si>
    <t>Ortiz-Cook</t>
  </si>
  <si>
    <t>Mcmahon Adams And Wright</t>
  </si>
  <si>
    <t>Brewer-Hampton</t>
  </si>
  <si>
    <t>Barrett-Pope</t>
  </si>
  <si>
    <t>Melendez Group</t>
  </si>
  <si>
    <t>Clark-Arnold</t>
  </si>
  <si>
    <t>Bailey-Hernandez</t>
  </si>
  <si>
    <t>Smith-Cole</t>
  </si>
  <si>
    <t>Dudley-Shepherd</t>
  </si>
  <si>
    <t>Gibson Ltd</t>
  </si>
  <si>
    <t>Beck-Howard</t>
  </si>
  <si>
    <t>Lewis-Howard</t>
  </si>
  <si>
    <t>Blankenship Mcgee Palmer</t>
  </si>
  <si>
    <t>Watkins Group</t>
  </si>
  <si>
    <t>Rhodes Plc</t>
  </si>
  <si>
    <t>Olson Decker Sims</t>
  </si>
  <si>
    <t>Ramirez Ferguson Duarte</t>
  </si>
  <si>
    <t>Mercado Ltd</t>
  </si>
  <si>
    <t>Reynolds-Frazier</t>
  </si>
  <si>
    <t>Rios Inc</t>
  </si>
  <si>
    <t>Snyder-Miller</t>
  </si>
  <si>
    <t>Villanueva Thompson Trujillo</t>
  </si>
  <si>
    <t>Gomez Inc</t>
  </si>
  <si>
    <t>Mullen Plc</t>
  </si>
  <si>
    <t>Clark-Lara</t>
  </si>
  <si>
    <t>Mcpherson Group</t>
  </si>
  <si>
    <t>Robertson Plc</t>
  </si>
  <si>
    <t>Taylor Smith And Vasquez</t>
  </si>
  <si>
    <t>Quinn Robinson Warner</t>
  </si>
  <si>
    <t>Copeland And Flores Vang</t>
  </si>
  <si>
    <t>Sons And Delgado</t>
  </si>
  <si>
    <t>Martinez Williams And Cox</t>
  </si>
  <si>
    <t>Myers Inc</t>
  </si>
  <si>
    <t>Schneider Ltd</t>
  </si>
  <si>
    <t>Carlson Ramos Newman</t>
  </si>
  <si>
    <t>Villanueva Inc</t>
  </si>
  <si>
    <t>Armstrong Inc</t>
  </si>
  <si>
    <t>Bryant Vang And Smith</t>
  </si>
  <si>
    <t>Black Plc</t>
  </si>
  <si>
    <t>Frazier Llc</t>
  </si>
  <si>
    <t>Warner Ltd</t>
  </si>
  <si>
    <t>Rodriguez-Fuller</t>
  </si>
  <si>
    <t>Rodriguez Armstrong Velez</t>
  </si>
  <si>
    <t>Knapp-Gordon</t>
  </si>
  <si>
    <t>Sons And Franco</t>
  </si>
  <si>
    <t>Allen Johns And Holland</t>
  </si>
  <si>
    <t>Mcfarland Baker Wright</t>
  </si>
  <si>
    <t>Carr Mendoza Bradley</t>
  </si>
  <si>
    <t>Fields And Robinson Lee</t>
  </si>
  <si>
    <t>Figueroa And Livingston Bowers</t>
  </si>
  <si>
    <t>Sutton Martin And Miranda</t>
  </si>
  <si>
    <t>Chapman Palmer George</t>
  </si>
  <si>
    <t>Foley-Johnson</t>
  </si>
  <si>
    <t>Duncan Llc</t>
  </si>
  <si>
    <t>Burton-Smith</t>
  </si>
  <si>
    <t>Ellis-King</t>
  </si>
  <si>
    <t>Estrada-Navarro</t>
  </si>
  <si>
    <t>Nelson Collins Mack</t>
  </si>
  <si>
    <t>Garcia Llc</t>
  </si>
  <si>
    <t>Williams Miller Burton</t>
  </si>
  <si>
    <t>Bowman Llc</t>
  </si>
  <si>
    <t>Robinson Llc</t>
  </si>
  <si>
    <t>Archer Ltd</t>
  </si>
  <si>
    <t>Zavala And Armstrong Burns</t>
  </si>
  <si>
    <t>Smith And Thomas Johnson</t>
  </si>
  <si>
    <t>Murphy Llc</t>
  </si>
  <si>
    <t>Tanner Brown And Welch</t>
  </si>
  <si>
    <t>Holland Inc</t>
  </si>
  <si>
    <t>Nash-Smith</t>
  </si>
  <si>
    <t>Mendoza-Lewis</t>
  </si>
  <si>
    <t>Baker-Combs</t>
  </si>
  <si>
    <t>Chandler Russell Harrington</t>
  </si>
  <si>
    <t>Knight Inc</t>
  </si>
  <si>
    <t>Smith Scott Mahoney</t>
  </si>
  <si>
    <t>Harris Group</t>
  </si>
  <si>
    <t>Stewart Oneill Melton</t>
  </si>
  <si>
    <t>Mcdaniel-Hansen</t>
  </si>
  <si>
    <t>Becker Cruz And Alvarez</t>
  </si>
  <si>
    <t>Velez And Gill Garrett</t>
  </si>
  <si>
    <t>Johnson-Dixon</t>
  </si>
  <si>
    <t>Diaz-Wells</t>
  </si>
  <si>
    <t>Sons And Stanley</t>
  </si>
  <si>
    <t>Miller Plc</t>
  </si>
  <si>
    <t>Sons Rivas</t>
  </si>
  <si>
    <t>Lee Johnson Fisher</t>
  </si>
  <si>
    <t>Bell Patel And Barker</t>
  </si>
  <si>
    <t>Bailey Ferguson Hobbs</t>
  </si>
  <si>
    <t>Ward-Tyler</t>
  </si>
  <si>
    <t>Martinez-Hartman</t>
  </si>
  <si>
    <t>Edwards Inc</t>
  </si>
  <si>
    <t>Marshall-Bauer</t>
  </si>
  <si>
    <t>Wells And Sons</t>
  </si>
  <si>
    <t>Vargas-Herrera</t>
  </si>
  <si>
    <t>Patterson Shea Hardin</t>
  </si>
  <si>
    <t>Fuller Sloan Barrera</t>
  </si>
  <si>
    <t>Jackson-Hurley</t>
  </si>
  <si>
    <t>Brown Plc</t>
  </si>
  <si>
    <t>Sparks Simmons Miles</t>
  </si>
  <si>
    <t>Ayala-Woods</t>
  </si>
  <si>
    <t>Chavez And Gonzales Johnson</t>
  </si>
  <si>
    <t>Hester-Morgan</t>
  </si>
  <si>
    <t>Cruz-Bryant</t>
  </si>
  <si>
    <t>Duke Ltd</t>
  </si>
  <si>
    <t>Hess Cole Herring</t>
  </si>
  <si>
    <t>Lopez Wallace Collier</t>
  </si>
  <si>
    <t>Roberts-Howe</t>
  </si>
  <si>
    <t>Sons And Medina</t>
  </si>
  <si>
    <t>Young Inc</t>
  </si>
  <si>
    <t>Massey Llc</t>
  </si>
  <si>
    <t>Johnson-Johnson</t>
  </si>
  <si>
    <t>Jackson And Knight Armstrong</t>
  </si>
  <si>
    <t>Washington Chaney Weaver</t>
  </si>
  <si>
    <t>Schneider Lopez Henry</t>
  </si>
  <si>
    <t>Austin-Thompson</t>
  </si>
  <si>
    <t>Peterson And Burke Cruz</t>
  </si>
  <si>
    <t>Reed-Williams</t>
  </si>
  <si>
    <t>Ellison And Sharp Mcguire</t>
  </si>
  <si>
    <t>Williams Santiago And King</t>
  </si>
  <si>
    <t>Brooks Ltd</t>
  </si>
  <si>
    <t>Ellis Inc</t>
  </si>
  <si>
    <t>Owens Smith Johnson</t>
  </si>
  <si>
    <t>Montoya-Bruce</t>
  </si>
  <si>
    <t>Thomas Contreras King</t>
  </si>
  <si>
    <t>Herrera-Rodriguez</t>
  </si>
  <si>
    <t>Ellis Mcdaniel And Stark</t>
  </si>
  <si>
    <t>Clark Powell And Sullivan</t>
  </si>
  <si>
    <t>Ho Bennett And Stein</t>
  </si>
  <si>
    <t>Mccormick Plc</t>
  </si>
  <si>
    <t>Jimenez Johnson Moore</t>
  </si>
  <si>
    <t>Wyatt Stewart Norton</t>
  </si>
  <si>
    <t>Williams Fisher Martin</t>
  </si>
  <si>
    <t>Palmer Carter Robinson</t>
  </si>
  <si>
    <t>Scott-Hill</t>
  </si>
  <si>
    <t>Woods Llc</t>
  </si>
  <si>
    <t>Peters-Taylor</t>
  </si>
  <si>
    <t>Jones-Fitzgerald</t>
  </si>
  <si>
    <t>York Plc</t>
  </si>
  <si>
    <t>Cameron-Choi</t>
  </si>
  <si>
    <t>Giles-Wilson</t>
  </si>
  <si>
    <t>Joseph Harris Patel</t>
  </si>
  <si>
    <t>Haas And Sons</t>
  </si>
  <si>
    <t>Martinez Leonard And Vega</t>
  </si>
  <si>
    <t>Estes Nguyen Green</t>
  </si>
  <si>
    <t>Jones-Fowler</t>
  </si>
  <si>
    <t>Ferguson-Fisher</t>
  </si>
  <si>
    <t>Jackson Campos Best</t>
  </si>
  <si>
    <t>Hurst Warren And Marsh</t>
  </si>
  <si>
    <t>Jones Ltd</t>
  </si>
  <si>
    <t>Perry-Garcia</t>
  </si>
  <si>
    <t>Strong Garrett Jones</t>
  </si>
  <si>
    <t>Sons Salas</t>
  </si>
  <si>
    <t>Shepherd Campbell Martinez</t>
  </si>
  <si>
    <t>Thomas Inc</t>
  </si>
  <si>
    <t>Rodriguez-Jones</t>
  </si>
  <si>
    <t>Lee Llc</t>
  </si>
  <si>
    <t>Mckay Jones Sanford</t>
  </si>
  <si>
    <t>Pitts Ltd</t>
  </si>
  <si>
    <t>Anderson Peterson Case</t>
  </si>
  <si>
    <t>Lane Group</t>
  </si>
  <si>
    <t>Young King Faulkner</t>
  </si>
  <si>
    <t>Lewis-Ayala</t>
  </si>
  <si>
    <t>Meadows Perry Brown</t>
  </si>
  <si>
    <t>Johnson-Jones</t>
  </si>
  <si>
    <t>Reese Ltd</t>
  </si>
  <si>
    <t>Palmer Llc</t>
  </si>
  <si>
    <t>Smith And Phillips Orozco</t>
  </si>
  <si>
    <t>Martin-Grant</t>
  </si>
  <si>
    <t>Williams Group</t>
  </si>
  <si>
    <t>Richards Group</t>
  </si>
  <si>
    <t>Fuller-Anderson</t>
  </si>
  <si>
    <t>Chapman Plc</t>
  </si>
  <si>
    <t>Castro-Rodgers</t>
  </si>
  <si>
    <t>Taylor-Duke</t>
  </si>
  <si>
    <t>Nelson Lopez Peters</t>
  </si>
  <si>
    <t>Owens And Neal Johnson</t>
  </si>
  <si>
    <t>Moore Ltd</t>
  </si>
  <si>
    <t>Cooper And Hawkins Lowe</t>
  </si>
  <si>
    <t>Campos-Webster</t>
  </si>
  <si>
    <t>Price-Small</t>
  </si>
  <si>
    <t>Reid Inc</t>
  </si>
  <si>
    <t>Henry Spence And Faulkner</t>
  </si>
  <si>
    <t>Ellis Llc</t>
  </si>
  <si>
    <t>Walsh Hamilton And Williams</t>
  </si>
  <si>
    <t>Cooper-Barnett</t>
  </si>
  <si>
    <t>Miller-Robinson</t>
  </si>
  <si>
    <t>Deleon And Allen Huynh</t>
  </si>
  <si>
    <t>Wilson-Adams</t>
  </si>
  <si>
    <t>Sons Cook</t>
  </si>
  <si>
    <t>Dawson Martin Medina</t>
  </si>
  <si>
    <t>Smith-Whitney</t>
  </si>
  <si>
    <t>Simmons Llc</t>
  </si>
  <si>
    <t>Contreras-Vasquez</t>
  </si>
  <si>
    <t>Grant Llc</t>
  </si>
  <si>
    <t>Torres Shepard Boyd</t>
  </si>
  <si>
    <t>Walker Sons</t>
  </si>
  <si>
    <t>Allen Group</t>
  </si>
  <si>
    <t>Chan Group</t>
  </si>
  <si>
    <t>Bates-White</t>
  </si>
  <si>
    <t>Cuevas Group</t>
  </si>
  <si>
    <t>Harris Wilson Jacobson</t>
  </si>
  <si>
    <t>Aguirre Ltd</t>
  </si>
  <si>
    <t>Huynh Barron Orr</t>
  </si>
  <si>
    <t>Chavez Inc</t>
  </si>
  <si>
    <t>Dominguez-Figueroa</t>
  </si>
  <si>
    <t>Mcclure Price Johnson</t>
  </si>
  <si>
    <t>Fischer Williams And Conner</t>
  </si>
  <si>
    <t>Johnson-Clark</t>
  </si>
  <si>
    <t>Montoya Plc</t>
  </si>
  <si>
    <t>Lynch Plc</t>
  </si>
  <si>
    <t>Preston Franco And Sanchez</t>
  </si>
  <si>
    <t>Liu Ltd</t>
  </si>
  <si>
    <t>Smith And Rhodes Smith</t>
  </si>
  <si>
    <t>Gutierrez Sons</t>
  </si>
  <si>
    <t>Browning Bennett Smith</t>
  </si>
  <si>
    <t>Washington-Butler</t>
  </si>
  <si>
    <t>Sons Santana</t>
  </si>
  <si>
    <t>Sanders-Wade</t>
  </si>
  <si>
    <t>Rocha-Williams</t>
  </si>
  <si>
    <t>Lee Walter Anderson</t>
  </si>
  <si>
    <t>Morales-Flynn</t>
  </si>
  <si>
    <t>Shelton-Fox</t>
  </si>
  <si>
    <t>Krause Llc</t>
  </si>
  <si>
    <t>Heath Llc</t>
  </si>
  <si>
    <t>Gray-Smith</t>
  </si>
  <si>
    <t>Taylor Morales And Adams</t>
  </si>
  <si>
    <t>Richardson Sons</t>
  </si>
  <si>
    <t>Rodriguez Ltd</t>
  </si>
  <si>
    <t>Davis Hoffman Moore</t>
  </si>
  <si>
    <t>Page-Glass</t>
  </si>
  <si>
    <t>Dudley-Trevino</t>
  </si>
  <si>
    <t>Sharp Llc</t>
  </si>
  <si>
    <t>Sons Kelly</t>
  </si>
  <si>
    <t>Bailey Inc</t>
  </si>
  <si>
    <t>George Ltd</t>
  </si>
  <si>
    <t>Flynn-Caldwell</t>
  </si>
  <si>
    <t>Weeks-Davis</t>
  </si>
  <si>
    <t>Coleman Plc</t>
  </si>
  <si>
    <t>Manning Inc</t>
  </si>
  <si>
    <t>Martinez-Martin</t>
  </si>
  <si>
    <t>Rojas Group</t>
  </si>
  <si>
    <t>Day-King</t>
  </si>
  <si>
    <t>Martin Inc</t>
  </si>
  <si>
    <t>Roberts Inc</t>
  </si>
  <si>
    <t>Wilson-Yang</t>
  </si>
  <si>
    <t>Cox Booth And Lee</t>
  </si>
  <si>
    <t>Davis And Abbott Carr</t>
  </si>
  <si>
    <t>Pham-Salinas</t>
  </si>
  <si>
    <t>Gibson-Banks</t>
  </si>
  <si>
    <t>Cook-Neal</t>
  </si>
  <si>
    <t>Smith Group</t>
  </si>
  <si>
    <t>Krause-Barr</t>
  </si>
  <si>
    <t>Davidson Inc</t>
  </si>
  <si>
    <t>Fernandez-Christian</t>
  </si>
  <si>
    <t>Love Group</t>
  </si>
  <si>
    <t>Jackson Ltd</t>
  </si>
  <si>
    <t>Garrett Sons</t>
  </si>
  <si>
    <t>Sheppard-Johnson</t>
  </si>
  <si>
    <t>Nolan Ltd</t>
  </si>
  <si>
    <t>Hernandez-Santos</t>
  </si>
  <si>
    <t>Blake Inc</t>
  </si>
  <si>
    <t>Thompson Johnson Thomas</t>
  </si>
  <si>
    <t>Tucker-Robinson</t>
  </si>
  <si>
    <t>Williamson-Dunn</t>
  </si>
  <si>
    <t>Wolf-Estes</t>
  </si>
  <si>
    <t>Love Smith Rodriguez</t>
  </si>
  <si>
    <t>White And Mendez Stark</t>
  </si>
  <si>
    <t>Morris-Snyder</t>
  </si>
  <si>
    <t>Hawkins Plc</t>
  </si>
  <si>
    <t>Morris And Sons</t>
  </si>
  <si>
    <t>Woods And Le Brown</t>
  </si>
  <si>
    <t>Townsend-Lewis</t>
  </si>
  <si>
    <t>Martinez-Gutierrez</t>
  </si>
  <si>
    <t>Foster Taylor And Morris</t>
  </si>
  <si>
    <t>Rodgers Wood And Tyler</t>
  </si>
  <si>
    <t>Thomas Hogan Austin</t>
  </si>
  <si>
    <t>Day Inc</t>
  </si>
  <si>
    <t>Sons Goodwin</t>
  </si>
  <si>
    <t>Patrick-Gonzalez</t>
  </si>
  <si>
    <t>Butler Plc</t>
  </si>
  <si>
    <t>Merritt-Woods</t>
  </si>
  <si>
    <t>Hodge Group</t>
  </si>
  <si>
    <t>Pace And Munoz Chavez</t>
  </si>
  <si>
    <t>Inconclusive</t>
  </si>
  <si>
    <t>Abnormal</t>
  </si>
  <si>
    <t>Normal</t>
  </si>
  <si>
    <t>Report Value</t>
  </si>
  <si>
    <t>Source (Formula)</t>
  </si>
  <si>
    <t>Difference</t>
  </si>
  <si>
    <t>Status</t>
  </si>
  <si>
    <t>Avg Length of Stay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</si>
</sst>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yyyy-mm-dd"/>
  </numFmts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E7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6" fontId="0" fillId="0" borderId="0" xfId="0" applyNumberFormat="1"/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Billing by Medical Condition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Billing</c:v>
          </c:tx>
          <c:cat>
            <c:strRef>
              <c:f>Medical_Condition!$A$2:$A$7</c:f>
              <c:strCache>
                <c:ptCount val="6"/>
                <c:pt idx="0">
                  <c:v>Cancer</c:v>
                </c:pt>
                <c:pt idx="1">
                  <c:v>Diabetes</c:v>
                </c:pt>
                <c:pt idx="2">
                  <c:v>Asthma</c:v>
                </c:pt>
                <c:pt idx="3">
                  <c:v>Hypertension</c:v>
                </c:pt>
                <c:pt idx="4">
                  <c:v>Obesity</c:v>
                </c:pt>
                <c:pt idx="5">
                  <c:v>Arthritis</c:v>
                </c:pt>
              </c:strCache>
            </c:strRef>
          </c:cat>
          <c:val>
            <c:numRef>
              <c:f>Medical_Condition!$C$2:$C$7</c:f>
              <c:numCache>
                <c:formatCode>General</c:formatCode>
                <c:ptCount val="6"/>
                <c:pt idx="0">
                  <c:v>4099196.76</c:v>
                </c:pt>
                <c:pt idx="1">
                  <c:v>4055568.4</c:v>
                </c:pt>
                <c:pt idx="2">
                  <c:v>3970721.09</c:v>
                </c:pt>
                <c:pt idx="3">
                  <c:v>3759663.4</c:v>
                </c:pt>
                <c:pt idx="4">
                  <c:v>3515864.5</c:v>
                </c:pt>
                <c:pt idx="5">
                  <c:v>3378043.46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Billing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Admissions Trend (complete months)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Admissions</c:v>
          </c:tx>
          <c:marker>
            <c:symbol val="none"/>
          </c:marker>
          <c:cat>
            <c:strRef>
              <c:f>Monthly_Trend!$A$2:$A$60</c:f>
              <c:strCache>
                <c:ptCount val="59"/>
                <c:pt idx="0">
                  <c:v>2019-06</c:v>
                </c:pt>
                <c:pt idx="1">
                  <c:v>2019-07</c:v>
                </c:pt>
                <c:pt idx="2">
                  <c:v>2019-08</c:v>
                </c:pt>
                <c:pt idx="3">
                  <c:v>2019-09</c:v>
                </c:pt>
                <c:pt idx="4">
                  <c:v>2019-10</c:v>
                </c:pt>
                <c:pt idx="5">
                  <c:v>2019-11</c:v>
                </c:pt>
                <c:pt idx="6">
                  <c:v>2019-12</c:v>
                </c:pt>
                <c:pt idx="7">
                  <c:v>2020-01</c:v>
                </c:pt>
                <c:pt idx="8">
                  <c:v>2020-02</c:v>
                </c:pt>
                <c:pt idx="9">
                  <c:v>2020-03</c:v>
                </c:pt>
                <c:pt idx="10">
                  <c:v>2020-04</c:v>
                </c:pt>
                <c:pt idx="11">
                  <c:v>2020-05</c:v>
                </c:pt>
                <c:pt idx="12">
                  <c:v>2020-06</c:v>
                </c:pt>
                <c:pt idx="13">
                  <c:v>2020-07</c:v>
                </c:pt>
                <c:pt idx="14">
                  <c:v>2020-08</c:v>
                </c:pt>
                <c:pt idx="15">
                  <c:v>2020-09</c:v>
                </c:pt>
                <c:pt idx="16">
                  <c:v>2020-10</c:v>
                </c:pt>
                <c:pt idx="17">
                  <c:v>2020-11</c:v>
                </c:pt>
                <c:pt idx="18">
                  <c:v>2020-12</c:v>
                </c:pt>
                <c:pt idx="19">
                  <c:v>2021-01</c:v>
                </c:pt>
                <c:pt idx="20">
                  <c:v>2021-02</c:v>
                </c:pt>
                <c:pt idx="21">
                  <c:v>2021-03</c:v>
                </c:pt>
                <c:pt idx="22">
                  <c:v>2021-04</c:v>
                </c:pt>
                <c:pt idx="23">
                  <c:v>2021-05</c:v>
                </c:pt>
                <c:pt idx="24">
                  <c:v>2021-06</c:v>
                </c:pt>
                <c:pt idx="25">
                  <c:v>2021-07</c:v>
                </c:pt>
                <c:pt idx="26">
                  <c:v>2021-08</c:v>
                </c:pt>
                <c:pt idx="27">
                  <c:v>2021-09</c:v>
                </c:pt>
                <c:pt idx="28">
                  <c:v>2021-10</c:v>
                </c:pt>
                <c:pt idx="29">
                  <c:v>2021-11</c:v>
                </c:pt>
                <c:pt idx="30">
                  <c:v>2021-12</c:v>
                </c:pt>
                <c:pt idx="31">
                  <c:v>2022-01</c:v>
                </c:pt>
                <c:pt idx="32">
                  <c:v>2022-02</c:v>
                </c:pt>
                <c:pt idx="33">
                  <c:v>2022-03</c:v>
                </c:pt>
                <c:pt idx="34">
                  <c:v>2022-04</c:v>
                </c:pt>
                <c:pt idx="35">
                  <c:v>2022-05</c:v>
                </c:pt>
                <c:pt idx="36">
                  <c:v>2022-06</c:v>
                </c:pt>
                <c:pt idx="37">
                  <c:v>2022-07</c:v>
                </c:pt>
                <c:pt idx="38">
                  <c:v>2022-08</c:v>
                </c:pt>
                <c:pt idx="39">
                  <c:v>2022-09</c:v>
                </c:pt>
                <c:pt idx="40">
                  <c:v>2022-10</c:v>
                </c:pt>
                <c:pt idx="41">
                  <c:v>2022-11</c:v>
                </c:pt>
                <c:pt idx="42">
                  <c:v>2022-12</c:v>
                </c:pt>
                <c:pt idx="43">
                  <c:v>2023-01</c:v>
                </c:pt>
                <c:pt idx="44">
                  <c:v>2023-02</c:v>
                </c:pt>
                <c:pt idx="45">
                  <c:v>2023-03</c:v>
                </c:pt>
                <c:pt idx="46">
                  <c:v>2023-04</c:v>
                </c:pt>
                <c:pt idx="47">
                  <c:v>2023-05</c:v>
                </c:pt>
                <c:pt idx="48">
                  <c:v>2023-06</c:v>
                </c:pt>
                <c:pt idx="49">
                  <c:v>2023-07</c:v>
                </c:pt>
                <c:pt idx="50">
                  <c:v>2023-08</c:v>
                </c:pt>
                <c:pt idx="51">
                  <c:v>2023-09</c:v>
                </c:pt>
                <c:pt idx="52">
                  <c:v>2023-10</c:v>
                </c:pt>
                <c:pt idx="53">
                  <c:v>2023-11</c:v>
                </c:pt>
                <c:pt idx="54">
                  <c:v>2023-12</c:v>
                </c:pt>
                <c:pt idx="55">
                  <c:v>2024-01</c:v>
                </c:pt>
                <c:pt idx="56">
                  <c:v>2024-02</c:v>
                </c:pt>
                <c:pt idx="57">
                  <c:v>2024-03</c:v>
                </c:pt>
                <c:pt idx="58">
                  <c:v>2024-04</c:v>
                </c:pt>
              </c:strCache>
            </c:strRef>
          </c:cat>
          <c:val>
            <c:numRef>
              <c:f>Monthly_Trend!$B$2:$B$60</c:f>
              <c:numCache>
                <c:formatCode>General</c:formatCode>
                <c:ptCount val="59"/>
                <c:pt idx="0">
                  <c:v>897</c:v>
                </c:pt>
                <c:pt idx="1">
                  <c:v>950</c:v>
                </c:pt>
                <c:pt idx="2">
                  <c:v>982</c:v>
                </c:pt>
                <c:pt idx="3">
                  <c:v>924</c:v>
                </c:pt>
                <c:pt idx="4">
                  <c:v>990</c:v>
                </c:pt>
                <c:pt idx="5">
                  <c:v>947</c:v>
                </c:pt>
                <c:pt idx="6">
                  <c:v>918</c:v>
                </c:pt>
                <c:pt idx="7">
                  <c:v>939</c:v>
                </c:pt>
                <c:pt idx="8">
                  <c:v>868</c:v>
                </c:pt>
                <c:pt idx="9">
                  <c:v>922</c:v>
                </c:pt>
                <c:pt idx="10">
                  <c:v>907</c:v>
                </c:pt>
                <c:pt idx="11">
                  <c:v>968</c:v>
                </c:pt>
                <c:pt idx="12">
                  <c:v>923</c:v>
                </c:pt>
                <c:pt idx="13">
                  <c:v>1000</c:v>
                </c:pt>
                <c:pt idx="14">
                  <c:v>1002</c:v>
                </c:pt>
                <c:pt idx="15">
                  <c:v>898</c:v>
                </c:pt>
                <c:pt idx="16">
                  <c:v>948</c:v>
                </c:pt>
                <c:pt idx="17">
                  <c:v>899</c:v>
                </c:pt>
                <c:pt idx="18">
                  <c:v>883</c:v>
                </c:pt>
                <c:pt idx="19">
                  <c:v>921</c:v>
                </c:pt>
                <c:pt idx="20">
                  <c:v>825</c:v>
                </c:pt>
                <c:pt idx="21">
                  <c:v>949</c:v>
                </c:pt>
                <c:pt idx="22">
                  <c:v>859</c:v>
                </c:pt>
                <c:pt idx="23">
                  <c:v>893</c:v>
                </c:pt>
                <c:pt idx="24">
                  <c:v>914</c:v>
                </c:pt>
                <c:pt idx="25">
                  <c:v>965</c:v>
                </c:pt>
                <c:pt idx="26">
                  <c:v>886</c:v>
                </c:pt>
                <c:pt idx="27">
                  <c:v>858</c:v>
                </c:pt>
                <c:pt idx="28">
                  <c:v>884</c:v>
                </c:pt>
                <c:pt idx="29">
                  <c:v>899</c:v>
                </c:pt>
                <c:pt idx="30">
                  <c:v>942</c:v>
                </c:pt>
                <c:pt idx="31">
                  <c:v>959</c:v>
                </c:pt>
                <c:pt idx="32">
                  <c:v>770</c:v>
                </c:pt>
                <c:pt idx="33">
                  <c:v>929</c:v>
                </c:pt>
                <c:pt idx="34">
                  <c:v>869</c:v>
                </c:pt>
                <c:pt idx="35">
                  <c:v>884</c:v>
                </c:pt>
                <c:pt idx="36">
                  <c:v>956</c:v>
                </c:pt>
                <c:pt idx="37">
                  <c:v>934</c:v>
                </c:pt>
                <c:pt idx="38">
                  <c:v>946</c:v>
                </c:pt>
                <c:pt idx="39">
                  <c:v>910</c:v>
                </c:pt>
                <c:pt idx="40">
                  <c:v>900</c:v>
                </c:pt>
                <c:pt idx="41">
                  <c:v>884</c:v>
                </c:pt>
                <c:pt idx="42">
                  <c:v>950</c:v>
                </c:pt>
                <c:pt idx="43">
                  <c:v>924</c:v>
                </c:pt>
                <c:pt idx="44">
                  <c:v>871</c:v>
                </c:pt>
                <c:pt idx="45">
                  <c:v>910</c:v>
                </c:pt>
                <c:pt idx="46">
                  <c:v>892</c:v>
                </c:pt>
                <c:pt idx="47">
                  <c:v>918</c:v>
                </c:pt>
                <c:pt idx="48">
                  <c:v>950</c:v>
                </c:pt>
                <c:pt idx="49">
                  <c:v>913</c:v>
                </c:pt>
                <c:pt idx="50">
                  <c:v>961</c:v>
                </c:pt>
                <c:pt idx="51">
                  <c:v>913</c:v>
                </c:pt>
                <c:pt idx="52">
                  <c:v>883</c:v>
                </c:pt>
                <c:pt idx="53">
                  <c:v>872</c:v>
                </c:pt>
                <c:pt idx="54">
                  <c:v>911</c:v>
                </c:pt>
                <c:pt idx="55">
                  <c:v>903</c:v>
                </c:pt>
                <c:pt idx="56">
                  <c:v>865</c:v>
                </c:pt>
                <c:pt idx="57">
                  <c:v>900</c:v>
                </c:pt>
                <c:pt idx="58">
                  <c:v>939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Admissions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152400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27.7109375" customWidth="1"/>
    <col min="2" max="2" width="15.7109375" customWidth="1"/>
    <col min="3" max="3" width="16.7109375" customWidth="1"/>
    <col min="4" max="4" width="12.7109375" customWidth="1"/>
    <col min="5" max="5" width="13.7109375" customWidth="1"/>
  </cols>
  <sheetData>
    <row r="1" spans="1:5">
      <c r="A1" s="1" t="s">
        <v>13</v>
      </c>
    </row>
    <row r="2" spans="1:5">
      <c r="A2" t="s">
        <v>14</v>
      </c>
    </row>
    <row r="4" spans="1: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</row>
    <row r="5" spans="1:5">
      <c r="A5" t="s">
        <v>5</v>
      </c>
      <c r="B5" s="3">
        <v>900</v>
      </c>
      <c r="C5" s="3">
        <v>865</v>
      </c>
      <c r="D5">
        <v>4.05</v>
      </c>
      <c r="E5" t="s">
        <v>11</v>
      </c>
    </row>
    <row r="6" spans="1:5">
      <c r="A6" t="s">
        <v>6</v>
      </c>
      <c r="B6" s="4">
        <v>22779057.62</v>
      </c>
      <c r="C6" s="4">
        <v>22234241.12</v>
      </c>
      <c r="D6">
        <v>2.45</v>
      </c>
      <c r="E6" t="s">
        <v>11</v>
      </c>
    </row>
    <row r="7" spans="1:5">
      <c r="A7" t="s">
        <v>7</v>
      </c>
      <c r="B7" s="4">
        <v>25310.06</v>
      </c>
      <c r="C7" s="4">
        <v>25704.32</v>
      </c>
      <c r="D7">
        <v>-1.53</v>
      </c>
      <c r="E7" t="s">
        <v>11</v>
      </c>
    </row>
    <row r="8" spans="1:5">
      <c r="A8" t="s">
        <v>8</v>
      </c>
      <c r="B8" s="4">
        <v>15.99</v>
      </c>
      <c r="C8" s="4">
        <v>15.47</v>
      </c>
      <c r="D8">
        <v>3.38</v>
      </c>
      <c r="E8" t="s">
        <v>11</v>
      </c>
    </row>
    <row r="9" spans="1:5">
      <c r="A9" t="s">
        <v>9</v>
      </c>
      <c r="B9" s="4">
        <v>32</v>
      </c>
      <c r="C9" s="4">
        <v>35.14</v>
      </c>
      <c r="D9">
        <v>-3.14</v>
      </c>
      <c r="E9" t="s">
        <v>12</v>
      </c>
    </row>
    <row r="10" spans="1:5">
      <c r="A10" t="s">
        <v>10</v>
      </c>
      <c r="B10" s="4">
        <v>32.11</v>
      </c>
      <c r="C10" s="4">
        <v>37.92</v>
      </c>
      <c r="D10">
        <v>-5.81</v>
      </c>
      <c r="E10" t="s">
        <v>12</v>
      </c>
    </row>
    <row r="12" spans="1:5">
      <c r="A12" s="5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</sheetData>
  <conditionalFormatting sqref="D5:D10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9.7109375" customWidth="1"/>
    <col min="2" max="2" width="12.7109375" customWidth="1"/>
    <col min="3" max="3" width="12.7109375" style="4" customWidth="1"/>
    <col min="4" max="4" width="9.7109375" customWidth="1"/>
  </cols>
  <sheetData>
    <row r="1" spans="1:4">
      <c r="A1" s="2" t="s">
        <v>23</v>
      </c>
      <c r="B1" s="2" t="s">
        <v>24</v>
      </c>
      <c r="C1" s="2" t="s">
        <v>25</v>
      </c>
      <c r="D1" s="2" t="s">
        <v>26</v>
      </c>
    </row>
    <row r="2" spans="1:4">
      <c r="A2" t="s">
        <v>27</v>
      </c>
      <c r="B2">
        <v>161</v>
      </c>
      <c r="C2" s="4">
        <v>4099196.76</v>
      </c>
      <c r="D2">
        <v>15.76</v>
      </c>
    </row>
    <row r="3" spans="1:4">
      <c r="A3" t="s">
        <v>28</v>
      </c>
      <c r="B3">
        <v>157</v>
      </c>
      <c r="C3" s="4">
        <v>4055568.4</v>
      </c>
      <c r="D3">
        <v>17.03</v>
      </c>
    </row>
    <row r="4" spans="1:4">
      <c r="A4" t="s">
        <v>29</v>
      </c>
      <c r="B4">
        <v>164</v>
      </c>
      <c r="C4" s="4">
        <v>3970721.09</v>
      </c>
      <c r="D4">
        <v>16.47</v>
      </c>
    </row>
    <row r="5" spans="1:4">
      <c r="A5" t="s">
        <v>30</v>
      </c>
      <c r="B5">
        <v>143</v>
      </c>
      <c r="C5" s="4">
        <v>3759663.4</v>
      </c>
      <c r="D5">
        <v>14.99</v>
      </c>
    </row>
    <row r="6" spans="1:4">
      <c r="A6" t="s">
        <v>31</v>
      </c>
      <c r="B6">
        <v>134</v>
      </c>
      <c r="C6" s="4">
        <v>3515864.5</v>
      </c>
      <c r="D6">
        <v>15.28</v>
      </c>
    </row>
    <row r="7" spans="1:4">
      <c r="A7" t="s">
        <v>32</v>
      </c>
      <c r="B7">
        <v>141</v>
      </c>
      <c r="C7" s="4">
        <v>3378043.46</v>
      </c>
      <c r="D7">
        <v>16.22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16.7109375" customWidth="1"/>
    <col min="2" max="2" width="12.7109375" customWidth="1"/>
    <col min="3" max="3" width="12.7109375" style="4" customWidth="1"/>
    <col min="4" max="4" width="9.7109375" customWidth="1"/>
  </cols>
  <sheetData>
    <row r="1" spans="1:4">
      <c r="A1" s="2" t="s">
        <v>33</v>
      </c>
      <c r="B1" s="2" t="s">
        <v>24</v>
      </c>
      <c r="C1" s="2" t="s">
        <v>25</v>
      </c>
      <c r="D1" s="2" t="s">
        <v>26</v>
      </c>
    </row>
    <row r="2" spans="1:4">
      <c r="A2" t="s">
        <v>34</v>
      </c>
      <c r="B2">
        <v>330</v>
      </c>
      <c r="C2" s="4">
        <v>8414814.17</v>
      </c>
      <c r="D2">
        <v>15.85</v>
      </c>
    </row>
    <row r="3" spans="1:4">
      <c r="A3" t="s">
        <v>35</v>
      </c>
      <c r="B3">
        <v>288</v>
      </c>
      <c r="C3" s="4">
        <v>7484382.15</v>
      </c>
      <c r="D3">
        <v>16.05</v>
      </c>
    </row>
    <row r="4" spans="1:4">
      <c r="A4" t="s">
        <v>36</v>
      </c>
      <c r="B4">
        <v>282</v>
      </c>
      <c r="C4" s="4">
        <v>6879861.29</v>
      </c>
      <c r="D4">
        <v>16.09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20.7109375" customWidth="1"/>
    <col min="2" max="2" width="12.7109375" customWidth="1"/>
    <col min="3" max="3" width="12.7109375" style="4" customWidth="1"/>
  </cols>
  <sheetData>
    <row r="1" spans="1:3">
      <c r="A1" s="2" t="s">
        <v>37</v>
      </c>
      <c r="B1" s="2" t="s">
        <v>24</v>
      </c>
      <c r="C1" s="2" t="s">
        <v>25</v>
      </c>
    </row>
    <row r="2" spans="1:3">
      <c r="A2" t="s">
        <v>38</v>
      </c>
      <c r="B2">
        <v>198</v>
      </c>
      <c r="C2" s="4">
        <v>5112586.11</v>
      </c>
    </row>
    <row r="3" spans="1:3">
      <c r="A3" t="s">
        <v>39</v>
      </c>
      <c r="B3">
        <v>190</v>
      </c>
      <c r="C3" s="4">
        <v>4798744.38</v>
      </c>
    </row>
    <row r="4" spans="1:3">
      <c r="A4" t="s">
        <v>40</v>
      </c>
      <c r="B4">
        <v>181</v>
      </c>
      <c r="C4" s="4">
        <v>4650896.6</v>
      </c>
    </row>
    <row r="5" spans="1:3">
      <c r="A5" t="s">
        <v>41</v>
      </c>
      <c r="B5">
        <v>190</v>
      </c>
      <c r="C5" s="4">
        <v>4518880.55</v>
      </c>
    </row>
    <row r="6" spans="1:3">
      <c r="A6" t="s">
        <v>42</v>
      </c>
      <c r="B6">
        <v>141</v>
      </c>
      <c r="C6" s="4">
        <v>3697949.98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11.7109375" customWidth="1"/>
    <col min="2" max="2" width="12.7109375" customWidth="1"/>
    <col min="3" max="3" width="12.7109375" style="4" customWidth="1"/>
  </cols>
  <sheetData>
    <row r="1" spans="1:3">
      <c r="A1" s="2" t="s">
        <v>43</v>
      </c>
      <c r="B1" s="2" t="s">
        <v>24</v>
      </c>
      <c r="C1" s="2" t="s">
        <v>25</v>
      </c>
    </row>
    <row r="2" spans="1:3">
      <c r="A2" t="s">
        <v>44</v>
      </c>
      <c r="B2">
        <v>16</v>
      </c>
      <c r="C2" s="4">
        <v>421353.51</v>
      </c>
    </row>
    <row r="3" spans="1:3">
      <c r="A3" t="s">
        <v>45</v>
      </c>
      <c r="B3">
        <v>217</v>
      </c>
      <c r="C3" s="4">
        <v>5623122.36</v>
      </c>
    </row>
    <row r="4" spans="1:3">
      <c r="A4" t="s">
        <v>46</v>
      </c>
      <c r="B4">
        <v>201</v>
      </c>
      <c r="C4" s="4">
        <v>5045846.18</v>
      </c>
    </row>
    <row r="5" spans="1:3">
      <c r="A5" t="s">
        <v>47</v>
      </c>
      <c r="B5">
        <v>215</v>
      </c>
      <c r="C5" s="4">
        <v>5598702.42</v>
      </c>
    </row>
    <row r="6" spans="1:3">
      <c r="A6" t="s">
        <v>48</v>
      </c>
      <c r="B6">
        <v>251</v>
      </c>
      <c r="C6" s="4">
        <v>6090033.15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13.7109375" customWidth="1"/>
    <col min="2" max="2" width="12.7109375" customWidth="1"/>
    <col min="3" max="3" width="12.7109375" style="4" customWidth="1"/>
  </cols>
  <sheetData>
    <row r="1" spans="1:3">
      <c r="A1" s="2" t="s">
        <v>49</v>
      </c>
      <c r="B1" s="2" t="s">
        <v>24</v>
      </c>
      <c r="C1" s="2" t="s">
        <v>25</v>
      </c>
    </row>
    <row r="2" spans="1:3">
      <c r="A2" t="s">
        <v>50</v>
      </c>
      <c r="B2">
        <v>183</v>
      </c>
      <c r="C2" s="4">
        <v>4331650.06</v>
      </c>
    </row>
    <row r="3" spans="1:3">
      <c r="A3" t="s">
        <v>51</v>
      </c>
      <c r="B3">
        <v>181</v>
      </c>
      <c r="C3" s="4">
        <v>4562682.14</v>
      </c>
    </row>
    <row r="4" spans="1:3">
      <c r="A4" t="s">
        <v>52</v>
      </c>
      <c r="B4">
        <v>180</v>
      </c>
      <c r="C4" s="4">
        <v>4391457.64</v>
      </c>
    </row>
    <row r="5" spans="1:3">
      <c r="A5" t="s">
        <v>53</v>
      </c>
      <c r="B5">
        <v>179</v>
      </c>
      <c r="C5" s="4">
        <v>4786780.68</v>
      </c>
    </row>
    <row r="6" spans="1:3">
      <c r="A6" t="s">
        <v>54</v>
      </c>
      <c r="B6">
        <v>177</v>
      </c>
      <c r="C6" s="4">
        <v>4706487.09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2" width="19.7109375" customWidth="1"/>
  </cols>
  <sheetData>
    <row r="1" spans="1:2">
      <c r="A1" s="2" t="s">
        <v>23</v>
      </c>
      <c r="B1" s="2" t="s">
        <v>55</v>
      </c>
    </row>
    <row r="2" spans="1:2">
      <c r="A2" t="s">
        <v>30</v>
      </c>
      <c r="B2">
        <v>36.36</v>
      </c>
    </row>
    <row r="3" spans="1:2">
      <c r="A3" t="s">
        <v>32</v>
      </c>
      <c r="B3">
        <v>33.33</v>
      </c>
    </row>
    <row r="4" spans="1:2">
      <c r="A4" t="s">
        <v>29</v>
      </c>
      <c r="B4">
        <v>32.32</v>
      </c>
    </row>
    <row r="5" spans="1:2">
      <c r="A5" t="s">
        <v>31</v>
      </c>
      <c r="B5">
        <v>31.34</v>
      </c>
    </row>
    <row r="6" spans="1:2">
      <c r="A6" t="s">
        <v>28</v>
      </c>
      <c r="B6">
        <v>29.94</v>
      </c>
    </row>
    <row r="7" spans="1:2">
      <c r="A7" t="s">
        <v>27</v>
      </c>
      <c r="B7">
        <v>29.81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cols>
    <col min="1" max="2" width="12.7109375" customWidth="1"/>
    <col min="3" max="3" width="13.7109375" style="4" customWidth="1"/>
  </cols>
  <sheetData>
    <row r="1" spans="1:3">
      <c r="A1" s="2" t="s">
        <v>56</v>
      </c>
      <c r="B1" s="2" t="s">
        <v>24</v>
      </c>
      <c r="C1" s="2" t="s">
        <v>25</v>
      </c>
    </row>
    <row r="2" spans="1:3">
      <c r="A2" t="s">
        <v>57</v>
      </c>
      <c r="B2">
        <v>897</v>
      </c>
      <c r="C2" s="4">
        <v>23614191.04</v>
      </c>
    </row>
    <row r="3" spans="1:3">
      <c r="A3" t="s">
        <v>58</v>
      </c>
      <c r="B3">
        <v>950</v>
      </c>
      <c r="C3" s="4">
        <v>24632556.55</v>
      </c>
    </row>
    <row r="4" spans="1:3">
      <c r="A4" t="s">
        <v>59</v>
      </c>
      <c r="B4">
        <v>982</v>
      </c>
      <c r="C4" s="4">
        <v>24998612.77</v>
      </c>
    </row>
    <row r="5" spans="1:3">
      <c r="A5" t="s">
        <v>60</v>
      </c>
      <c r="B5">
        <v>924</v>
      </c>
      <c r="C5" s="4">
        <v>23021967.21</v>
      </c>
    </row>
    <row r="6" spans="1:3">
      <c r="A6" t="s">
        <v>61</v>
      </c>
      <c r="B6">
        <v>990</v>
      </c>
      <c r="C6" s="4">
        <v>25736375.16</v>
      </c>
    </row>
    <row r="7" spans="1:3">
      <c r="A7" t="s">
        <v>62</v>
      </c>
      <c r="B7">
        <v>947</v>
      </c>
      <c r="C7" s="4">
        <v>24529227.49</v>
      </c>
    </row>
    <row r="8" spans="1:3">
      <c r="A8" t="s">
        <v>63</v>
      </c>
      <c r="B8">
        <v>918</v>
      </c>
      <c r="C8" s="4">
        <v>23580622.41</v>
      </c>
    </row>
    <row r="9" spans="1:3">
      <c r="A9" t="s">
        <v>64</v>
      </c>
      <c r="B9">
        <v>939</v>
      </c>
      <c r="C9" s="4">
        <v>24284294.47</v>
      </c>
    </row>
    <row r="10" spans="1:3">
      <c r="A10" t="s">
        <v>65</v>
      </c>
      <c r="B10">
        <v>868</v>
      </c>
      <c r="C10" s="4">
        <v>21996303.67</v>
      </c>
    </row>
    <row r="11" spans="1:3">
      <c r="A11" t="s">
        <v>66</v>
      </c>
      <c r="B11">
        <v>922</v>
      </c>
      <c r="C11" s="4">
        <v>23545718.13</v>
      </c>
    </row>
    <row r="12" spans="1:3">
      <c r="A12" t="s">
        <v>67</v>
      </c>
      <c r="B12">
        <v>907</v>
      </c>
      <c r="C12" s="4">
        <v>22878256.65</v>
      </c>
    </row>
    <row r="13" spans="1:3">
      <c r="A13" t="s">
        <v>68</v>
      </c>
      <c r="B13">
        <v>968</v>
      </c>
      <c r="C13" s="4">
        <v>24781408.54</v>
      </c>
    </row>
    <row r="14" spans="1:3">
      <c r="A14" t="s">
        <v>69</v>
      </c>
      <c r="B14">
        <v>923</v>
      </c>
      <c r="C14" s="4">
        <v>24050073.96</v>
      </c>
    </row>
    <row r="15" spans="1:3">
      <c r="A15" t="s">
        <v>70</v>
      </c>
      <c r="B15">
        <v>1000</v>
      </c>
      <c r="C15" s="4">
        <v>24812785.32</v>
      </c>
    </row>
    <row r="16" spans="1:3">
      <c r="A16" t="s">
        <v>71</v>
      </c>
      <c r="B16">
        <v>1002</v>
      </c>
      <c r="C16" s="4">
        <v>25579030.84</v>
      </c>
    </row>
    <row r="17" spans="1:3">
      <c r="A17" t="s">
        <v>72</v>
      </c>
      <c r="B17">
        <v>898</v>
      </c>
      <c r="C17" s="4">
        <v>22344214.4</v>
      </c>
    </row>
    <row r="18" spans="1:3">
      <c r="A18" t="s">
        <v>73</v>
      </c>
      <c r="B18">
        <v>948</v>
      </c>
      <c r="C18" s="4">
        <v>23745756.21</v>
      </c>
    </row>
    <row r="19" spans="1:3">
      <c r="A19" t="s">
        <v>74</v>
      </c>
      <c r="B19">
        <v>899</v>
      </c>
      <c r="C19" s="4">
        <v>22788488.89</v>
      </c>
    </row>
    <row r="20" spans="1:3">
      <c r="A20" t="s">
        <v>75</v>
      </c>
      <c r="B20">
        <v>883</v>
      </c>
      <c r="C20" s="4">
        <v>23153282.45</v>
      </c>
    </row>
    <row r="21" spans="1:3">
      <c r="A21" t="s">
        <v>76</v>
      </c>
      <c r="B21">
        <v>921</v>
      </c>
      <c r="C21" s="4">
        <v>23528671.38</v>
      </c>
    </row>
    <row r="22" spans="1:3">
      <c r="A22" t="s">
        <v>77</v>
      </c>
      <c r="B22">
        <v>825</v>
      </c>
      <c r="C22" s="4">
        <v>21146741.49</v>
      </c>
    </row>
    <row r="23" spans="1:3">
      <c r="A23" t="s">
        <v>78</v>
      </c>
      <c r="B23">
        <v>949</v>
      </c>
      <c r="C23" s="4">
        <v>24747976.84</v>
      </c>
    </row>
    <row r="24" spans="1:3">
      <c r="A24" t="s">
        <v>79</v>
      </c>
      <c r="B24">
        <v>859</v>
      </c>
      <c r="C24" s="4">
        <v>22141567.58</v>
      </c>
    </row>
    <row r="25" spans="1:3">
      <c r="A25" t="s">
        <v>80</v>
      </c>
      <c r="B25">
        <v>893</v>
      </c>
      <c r="C25" s="4">
        <v>22359728.42</v>
      </c>
    </row>
    <row r="26" spans="1:3">
      <c r="A26" t="s">
        <v>81</v>
      </c>
      <c r="B26">
        <v>914</v>
      </c>
      <c r="C26" s="4">
        <v>23859289.75</v>
      </c>
    </row>
    <row r="27" spans="1:3">
      <c r="A27" t="s">
        <v>82</v>
      </c>
      <c r="B27">
        <v>965</v>
      </c>
      <c r="C27" s="4">
        <v>24840714.31</v>
      </c>
    </row>
    <row r="28" spans="1:3">
      <c r="A28" t="s">
        <v>83</v>
      </c>
      <c r="B28">
        <v>886</v>
      </c>
      <c r="C28" s="4">
        <v>22630013.83</v>
      </c>
    </row>
    <row r="29" spans="1:3">
      <c r="A29" t="s">
        <v>84</v>
      </c>
      <c r="B29">
        <v>858</v>
      </c>
      <c r="C29" s="4">
        <v>21615416.89</v>
      </c>
    </row>
    <row r="30" spans="1:3">
      <c r="A30" t="s">
        <v>85</v>
      </c>
      <c r="B30">
        <v>884</v>
      </c>
      <c r="C30" s="4">
        <v>23694544.58</v>
      </c>
    </row>
    <row r="31" spans="1:3">
      <c r="A31" t="s">
        <v>86</v>
      </c>
      <c r="B31">
        <v>899</v>
      </c>
      <c r="C31" s="4">
        <v>23076691.99</v>
      </c>
    </row>
    <row r="32" spans="1:3">
      <c r="A32" t="s">
        <v>87</v>
      </c>
      <c r="B32">
        <v>942</v>
      </c>
      <c r="C32" s="4">
        <v>23545220.8</v>
      </c>
    </row>
    <row r="33" spans="1:3">
      <c r="A33" t="s">
        <v>88</v>
      </c>
      <c r="B33">
        <v>959</v>
      </c>
      <c r="C33" s="4">
        <v>24514823.36</v>
      </c>
    </row>
    <row r="34" spans="1:3">
      <c r="A34" t="s">
        <v>89</v>
      </c>
      <c r="B34">
        <v>770</v>
      </c>
      <c r="C34" s="4">
        <v>19116118.72</v>
      </c>
    </row>
    <row r="35" spans="1:3">
      <c r="A35" t="s">
        <v>90</v>
      </c>
      <c r="B35">
        <v>929</v>
      </c>
      <c r="C35" s="4">
        <v>24017744.95</v>
      </c>
    </row>
    <row r="36" spans="1:3">
      <c r="A36" t="s">
        <v>91</v>
      </c>
      <c r="B36">
        <v>869</v>
      </c>
      <c r="C36" s="4">
        <v>22336899.14</v>
      </c>
    </row>
    <row r="37" spans="1:3">
      <c r="A37" t="s">
        <v>92</v>
      </c>
      <c r="B37">
        <v>884</v>
      </c>
      <c r="C37" s="4">
        <v>22627046.5</v>
      </c>
    </row>
    <row r="38" spans="1:3">
      <c r="A38" t="s">
        <v>93</v>
      </c>
      <c r="B38">
        <v>956</v>
      </c>
      <c r="C38" s="4">
        <v>24170073.25</v>
      </c>
    </row>
    <row r="39" spans="1:3">
      <c r="A39" t="s">
        <v>94</v>
      </c>
      <c r="B39">
        <v>934</v>
      </c>
      <c r="C39" s="4">
        <v>24172729.03</v>
      </c>
    </row>
    <row r="40" spans="1:3">
      <c r="A40" t="s">
        <v>95</v>
      </c>
      <c r="B40">
        <v>946</v>
      </c>
      <c r="C40" s="4">
        <v>23758453.22</v>
      </c>
    </row>
    <row r="41" spans="1:3">
      <c r="A41" t="s">
        <v>96</v>
      </c>
      <c r="B41">
        <v>910</v>
      </c>
      <c r="C41" s="4">
        <v>23401530.55</v>
      </c>
    </row>
    <row r="42" spans="1:3">
      <c r="A42" t="s">
        <v>97</v>
      </c>
      <c r="B42">
        <v>900</v>
      </c>
      <c r="C42" s="4">
        <v>23222314.59</v>
      </c>
    </row>
    <row r="43" spans="1:3">
      <c r="A43" t="s">
        <v>98</v>
      </c>
      <c r="B43">
        <v>884</v>
      </c>
      <c r="C43" s="4">
        <v>23298949.08</v>
      </c>
    </row>
    <row r="44" spans="1:3">
      <c r="A44" t="s">
        <v>99</v>
      </c>
      <c r="B44">
        <v>950</v>
      </c>
      <c r="C44" s="4">
        <v>23988902.24</v>
      </c>
    </row>
    <row r="45" spans="1:3">
      <c r="A45" t="s">
        <v>100</v>
      </c>
      <c r="B45">
        <v>924</v>
      </c>
      <c r="C45" s="4">
        <v>24066197.1</v>
      </c>
    </row>
    <row r="46" spans="1:3">
      <c r="A46" t="s">
        <v>101</v>
      </c>
      <c r="B46">
        <v>871</v>
      </c>
      <c r="C46" s="4">
        <v>22216530.11</v>
      </c>
    </row>
    <row r="47" spans="1:3">
      <c r="A47" t="s">
        <v>102</v>
      </c>
      <c r="B47">
        <v>910</v>
      </c>
      <c r="C47" s="4">
        <v>22271257.38</v>
      </c>
    </row>
    <row r="48" spans="1:3">
      <c r="A48" t="s">
        <v>103</v>
      </c>
      <c r="B48">
        <v>892</v>
      </c>
      <c r="C48" s="4">
        <v>22846414.14</v>
      </c>
    </row>
    <row r="49" spans="1:3">
      <c r="A49" t="s">
        <v>104</v>
      </c>
      <c r="B49">
        <v>918</v>
      </c>
      <c r="C49" s="4">
        <v>22734281.73</v>
      </c>
    </row>
    <row r="50" spans="1:3">
      <c r="A50" t="s">
        <v>105</v>
      </c>
      <c r="B50">
        <v>950</v>
      </c>
      <c r="C50" s="4">
        <v>24795001.56</v>
      </c>
    </row>
    <row r="51" spans="1:3">
      <c r="A51" t="s">
        <v>106</v>
      </c>
      <c r="B51">
        <v>913</v>
      </c>
      <c r="C51" s="4">
        <v>22969552.11</v>
      </c>
    </row>
    <row r="52" spans="1:3">
      <c r="A52" t="s">
        <v>107</v>
      </c>
      <c r="B52">
        <v>961</v>
      </c>
      <c r="C52" s="4">
        <v>24617319.18</v>
      </c>
    </row>
    <row r="53" spans="1:3">
      <c r="A53" t="s">
        <v>108</v>
      </c>
      <c r="B53">
        <v>913</v>
      </c>
      <c r="C53" s="4">
        <v>23465274.24</v>
      </c>
    </row>
    <row r="54" spans="1:3">
      <c r="A54" t="s">
        <v>109</v>
      </c>
      <c r="B54">
        <v>883</v>
      </c>
      <c r="C54" s="4">
        <v>23627441.82</v>
      </c>
    </row>
    <row r="55" spans="1:3">
      <c r="A55" t="s">
        <v>110</v>
      </c>
      <c r="B55">
        <v>872</v>
      </c>
      <c r="C55" s="4">
        <v>22290858.37</v>
      </c>
    </row>
    <row r="56" spans="1:3">
      <c r="A56" t="s">
        <v>111</v>
      </c>
      <c r="B56">
        <v>911</v>
      </c>
      <c r="C56" s="4">
        <v>23780825.97</v>
      </c>
    </row>
    <row r="57" spans="1:3">
      <c r="A57" t="s">
        <v>112</v>
      </c>
      <c r="B57">
        <v>903</v>
      </c>
      <c r="C57" s="4">
        <v>23330536.27</v>
      </c>
    </row>
    <row r="58" spans="1:3">
      <c r="A58" t="s">
        <v>113</v>
      </c>
      <c r="B58">
        <v>865</v>
      </c>
      <c r="C58" s="4">
        <v>22234241.12</v>
      </c>
    </row>
    <row r="59" spans="1:3">
      <c r="A59" t="s">
        <v>114</v>
      </c>
      <c r="B59">
        <v>900</v>
      </c>
      <c r="C59" s="4">
        <v>22779057.62</v>
      </c>
    </row>
    <row r="60" spans="1:3">
      <c r="A60" t="s">
        <v>115</v>
      </c>
      <c r="B60">
        <v>939</v>
      </c>
      <c r="C60" s="4">
        <v>23408072.64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45.7109375" customWidth="1"/>
    <col min="2" max="2" width="7.7109375" customWidth="1"/>
  </cols>
  <sheetData>
    <row r="1" spans="1:2">
      <c r="A1" s="2" t="s">
        <v>116</v>
      </c>
      <c r="B1" s="2" t="s">
        <v>117</v>
      </c>
    </row>
    <row r="2" spans="1:2">
      <c r="A2" t="s">
        <v>118</v>
      </c>
      <c r="B2">
        <v>55500</v>
      </c>
    </row>
    <row r="3" spans="1:2">
      <c r="A3" t="s">
        <v>119</v>
      </c>
      <c r="B3">
        <v>534</v>
      </c>
    </row>
    <row r="4" spans="1:2">
      <c r="A4" t="s">
        <v>120</v>
      </c>
      <c r="B4">
        <v>0</v>
      </c>
    </row>
    <row r="5" spans="1:2">
      <c r="A5" t="s">
        <v>121</v>
      </c>
      <c r="B5">
        <v>0</v>
      </c>
    </row>
    <row r="6" spans="1:2">
      <c r="A6" t="s">
        <v>122</v>
      </c>
      <c r="B6">
        <v>106</v>
      </c>
    </row>
    <row r="7" spans="1:2">
      <c r="A7" t="s">
        <v>123</v>
      </c>
      <c r="B7">
        <v>0</v>
      </c>
    </row>
    <row r="8" spans="1:2">
      <c r="A8" t="s">
        <v>124</v>
      </c>
      <c r="B8">
        <v>54860</v>
      </c>
    </row>
    <row r="9" spans="1:2">
      <c r="A9" t="s">
        <v>125</v>
      </c>
      <c r="B9">
        <v>884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12.7109375" customWidth="1"/>
    <col min="4" max="5" width="19.7109375" customWidth="1"/>
    <col min="6" max="6" width="24.7109375" customWidth="1"/>
    <col min="7" max="7" width="32.7109375" customWidth="1"/>
    <col min="8" max="8" width="20.7109375" customWidth="1"/>
    <col min="9" max="9" width="20.7109375" style="4" customWidth="1"/>
    <col min="10" max="10" width="13.7109375" customWidth="1"/>
    <col min="11" max="12" width="16.7109375" customWidth="1"/>
    <col min="13" max="13" width="13.7109375" customWidth="1"/>
    <col min="14" max="14" width="14.7109375" customWidth="1"/>
    <col min="15" max="15" width="12.7109375" customWidth="1"/>
    <col min="16" max="16" width="16.7109375" customWidth="1"/>
    <col min="17" max="17" width="11.7109375" customWidth="1"/>
  </cols>
  <sheetData>
    <row r="1" spans="1:17">
      <c r="A1" s="2" t="s">
        <v>126</v>
      </c>
      <c r="B1" s="2" t="s">
        <v>127</v>
      </c>
      <c r="C1" s="2" t="s">
        <v>128</v>
      </c>
      <c r="D1" s="2" t="s">
        <v>23</v>
      </c>
      <c r="E1" s="2" t="s">
        <v>129</v>
      </c>
      <c r="F1" s="2" t="s">
        <v>130</v>
      </c>
      <c r="G1" s="2" t="s">
        <v>131</v>
      </c>
      <c r="H1" s="2" t="s">
        <v>37</v>
      </c>
      <c r="I1" s="2" t="s">
        <v>132</v>
      </c>
      <c r="J1" s="2" t="s">
        <v>133</v>
      </c>
      <c r="K1" s="2" t="s">
        <v>33</v>
      </c>
      <c r="L1" s="2" t="s">
        <v>134</v>
      </c>
      <c r="M1" s="2" t="s">
        <v>49</v>
      </c>
      <c r="N1" s="2" t="s">
        <v>135</v>
      </c>
      <c r="O1" s="2" t="s">
        <v>56</v>
      </c>
      <c r="P1" s="2" t="s">
        <v>136</v>
      </c>
      <c r="Q1" s="2" t="s">
        <v>43</v>
      </c>
    </row>
    <row r="2" spans="1:17">
      <c r="A2">
        <v>61</v>
      </c>
      <c r="B2" t="s">
        <v>137</v>
      </c>
      <c r="C2" t="s">
        <v>139</v>
      </c>
      <c r="D2" t="s">
        <v>27</v>
      </c>
      <c r="E2" s="6">
        <v>45353</v>
      </c>
      <c r="F2" t="s">
        <v>147</v>
      </c>
      <c r="G2" t="s">
        <v>953</v>
      </c>
      <c r="H2" t="s">
        <v>39</v>
      </c>
      <c r="I2" s="4">
        <v>29504.38744221146</v>
      </c>
      <c r="J2">
        <v>422</v>
      </c>
      <c r="K2" t="s">
        <v>34</v>
      </c>
      <c r="L2" s="6">
        <v>45377</v>
      </c>
      <c r="M2" t="s">
        <v>51</v>
      </c>
      <c r="N2" t="s">
        <v>1746</v>
      </c>
      <c r="O2" t="s">
        <v>114</v>
      </c>
      <c r="P2">
        <v>24</v>
      </c>
      <c r="Q2" t="s">
        <v>47</v>
      </c>
    </row>
    <row r="3" spans="1:17">
      <c r="A3">
        <v>76</v>
      </c>
      <c r="B3" t="s">
        <v>138</v>
      </c>
      <c r="C3" t="s">
        <v>140</v>
      </c>
      <c r="D3" t="s">
        <v>28</v>
      </c>
      <c r="E3" s="6">
        <v>45375</v>
      </c>
      <c r="F3" t="s">
        <v>148</v>
      </c>
      <c r="G3" t="s">
        <v>954</v>
      </c>
      <c r="H3" t="s">
        <v>41</v>
      </c>
      <c r="I3" s="4">
        <v>6312.607691018524</v>
      </c>
      <c r="J3">
        <v>226</v>
      </c>
      <c r="K3" t="s">
        <v>36</v>
      </c>
      <c r="L3" s="6">
        <v>45396</v>
      </c>
      <c r="M3" t="s">
        <v>50</v>
      </c>
      <c r="N3" t="s">
        <v>1747</v>
      </c>
      <c r="O3" t="s">
        <v>114</v>
      </c>
      <c r="P3">
        <v>21</v>
      </c>
      <c r="Q3" t="s">
        <v>48</v>
      </c>
    </row>
    <row r="4" spans="1:17">
      <c r="A4">
        <v>20</v>
      </c>
      <c r="B4" t="s">
        <v>137</v>
      </c>
      <c r="C4" t="s">
        <v>141</v>
      </c>
      <c r="D4" t="s">
        <v>28</v>
      </c>
      <c r="E4" s="6">
        <v>45368</v>
      </c>
      <c r="F4" t="s">
        <v>149</v>
      </c>
      <c r="G4" t="s">
        <v>955</v>
      </c>
      <c r="H4" t="s">
        <v>38</v>
      </c>
      <c r="I4" s="4">
        <v>44939.56552476109</v>
      </c>
      <c r="J4">
        <v>430</v>
      </c>
      <c r="K4" t="s">
        <v>35</v>
      </c>
      <c r="L4" s="6">
        <v>45379</v>
      </c>
      <c r="M4" t="s">
        <v>51</v>
      </c>
      <c r="N4" t="s">
        <v>1746</v>
      </c>
      <c r="O4" t="s">
        <v>114</v>
      </c>
      <c r="P4">
        <v>11</v>
      </c>
      <c r="Q4" t="s">
        <v>45</v>
      </c>
    </row>
    <row r="5" spans="1:17">
      <c r="A5">
        <v>53</v>
      </c>
      <c r="B5" t="s">
        <v>137</v>
      </c>
      <c r="C5" t="s">
        <v>141</v>
      </c>
      <c r="D5" t="s">
        <v>30</v>
      </c>
      <c r="E5" s="6">
        <v>45355</v>
      </c>
      <c r="F5" t="s">
        <v>150</v>
      </c>
      <c r="G5" t="s">
        <v>956</v>
      </c>
      <c r="H5" t="s">
        <v>42</v>
      </c>
      <c r="I5" s="4">
        <v>28899.18575874838</v>
      </c>
      <c r="J5">
        <v>314</v>
      </c>
      <c r="K5" t="s">
        <v>35</v>
      </c>
      <c r="L5" s="6">
        <v>45369</v>
      </c>
      <c r="M5" t="s">
        <v>52</v>
      </c>
      <c r="N5" t="s">
        <v>1747</v>
      </c>
      <c r="O5" t="s">
        <v>114</v>
      </c>
      <c r="P5">
        <v>14</v>
      </c>
      <c r="Q5" t="s">
        <v>47</v>
      </c>
    </row>
    <row r="6" spans="1:17">
      <c r="A6">
        <v>26</v>
      </c>
      <c r="B6" t="s">
        <v>138</v>
      </c>
      <c r="C6" t="s">
        <v>141</v>
      </c>
      <c r="D6" t="s">
        <v>29</v>
      </c>
      <c r="E6" s="6">
        <v>45354</v>
      </c>
      <c r="F6" t="s">
        <v>151</v>
      </c>
      <c r="G6" t="s">
        <v>957</v>
      </c>
      <c r="H6" t="s">
        <v>38</v>
      </c>
      <c r="I6" s="4">
        <v>32085.22764650872</v>
      </c>
      <c r="J6">
        <v>392</v>
      </c>
      <c r="K6" t="s">
        <v>34</v>
      </c>
      <c r="L6" s="6">
        <v>45378</v>
      </c>
      <c r="M6" t="s">
        <v>53</v>
      </c>
      <c r="N6" t="s">
        <v>1746</v>
      </c>
      <c r="O6" t="s">
        <v>114</v>
      </c>
      <c r="P6">
        <v>24</v>
      </c>
      <c r="Q6" t="s">
        <v>45</v>
      </c>
    </row>
    <row r="7" spans="1:17">
      <c r="A7">
        <v>40</v>
      </c>
      <c r="B7" t="s">
        <v>137</v>
      </c>
      <c r="C7" t="s">
        <v>142</v>
      </c>
      <c r="D7" t="s">
        <v>28</v>
      </c>
      <c r="E7" s="6">
        <v>45360</v>
      </c>
      <c r="F7" t="s">
        <v>152</v>
      </c>
      <c r="G7" t="s">
        <v>958</v>
      </c>
      <c r="H7" t="s">
        <v>38</v>
      </c>
      <c r="I7" s="4">
        <v>31188.04149174116</v>
      </c>
      <c r="J7">
        <v>111</v>
      </c>
      <c r="K7" t="s">
        <v>36</v>
      </c>
      <c r="L7" s="6">
        <v>45387</v>
      </c>
      <c r="M7" t="s">
        <v>51</v>
      </c>
      <c r="N7" t="s">
        <v>1748</v>
      </c>
      <c r="O7" t="s">
        <v>114</v>
      </c>
      <c r="P7">
        <v>27</v>
      </c>
      <c r="Q7" t="s">
        <v>46</v>
      </c>
    </row>
    <row r="8" spans="1:17">
      <c r="A8">
        <v>76</v>
      </c>
      <c r="B8" t="s">
        <v>138</v>
      </c>
      <c r="C8" t="s">
        <v>141</v>
      </c>
      <c r="D8" t="s">
        <v>30</v>
      </c>
      <c r="E8" s="6">
        <v>45363</v>
      </c>
      <c r="F8" t="s">
        <v>153</v>
      </c>
      <c r="G8" t="s">
        <v>959</v>
      </c>
      <c r="H8" t="s">
        <v>41</v>
      </c>
      <c r="I8" s="4">
        <v>45594.88907063597</v>
      </c>
      <c r="J8">
        <v>192</v>
      </c>
      <c r="K8" t="s">
        <v>34</v>
      </c>
      <c r="L8" s="6">
        <v>45391</v>
      </c>
      <c r="M8" t="s">
        <v>52</v>
      </c>
      <c r="N8" t="s">
        <v>1747</v>
      </c>
      <c r="O8" t="s">
        <v>114</v>
      </c>
      <c r="P8">
        <v>28</v>
      </c>
      <c r="Q8" t="s">
        <v>48</v>
      </c>
    </row>
    <row r="9" spans="1:17">
      <c r="A9">
        <v>56</v>
      </c>
      <c r="B9" t="s">
        <v>137</v>
      </c>
      <c r="C9" t="s">
        <v>139</v>
      </c>
      <c r="D9" t="s">
        <v>27</v>
      </c>
      <c r="E9" s="6">
        <v>45371</v>
      </c>
      <c r="F9" t="s">
        <v>154</v>
      </c>
      <c r="G9" t="s">
        <v>960</v>
      </c>
      <c r="H9" t="s">
        <v>38</v>
      </c>
      <c r="I9" s="4">
        <v>5811.629851037733</v>
      </c>
      <c r="J9">
        <v>176</v>
      </c>
      <c r="K9" t="s">
        <v>34</v>
      </c>
      <c r="L9" s="6">
        <v>45388</v>
      </c>
      <c r="M9" t="s">
        <v>52</v>
      </c>
      <c r="N9" t="s">
        <v>1748</v>
      </c>
      <c r="O9" t="s">
        <v>114</v>
      </c>
      <c r="P9">
        <v>17</v>
      </c>
      <c r="Q9" t="s">
        <v>47</v>
      </c>
    </row>
    <row r="10" spans="1:17">
      <c r="A10">
        <v>44</v>
      </c>
      <c r="B10" t="s">
        <v>137</v>
      </c>
      <c r="C10" t="s">
        <v>140</v>
      </c>
      <c r="D10" t="s">
        <v>28</v>
      </c>
      <c r="E10" s="6">
        <v>45378</v>
      </c>
      <c r="F10" t="s">
        <v>155</v>
      </c>
      <c r="G10" t="s">
        <v>961</v>
      </c>
      <c r="H10" t="s">
        <v>42</v>
      </c>
      <c r="I10" s="4">
        <v>22868.53034220158</v>
      </c>
      <c r="J10">
        <v>295</v>
      </c>
      <c r="K10" t="s">
        <v>36</v>
      </c>
      <c r="L10" s="6">
        <v>45390</v>
      </c>
      <c r="M10" t="s">
        <v>51</v>
      </c>
      <c r="N10" t="s">
        <v>1747</v>
      </c>
      <c r="O10" t="s">
        <v>114</v>
      </c>
      <c r="P10">
        <v>12</v>
      </c>
      <c r="Q10" t="s">
        <v>46</v>
      </c>
    </row>
    <row r="11" spans="1:17">
      <c r="A11">
        <v>53</v>
      </c>
      <c r="B11" t="s">
        <v>137</v>
      </c>
      <c r="C11" t="s">
        <v>143</v>
      </c>
      <c r="D11" t="s">
        <v>31</v>
      </c>
      <c r="E11" s="6">
        <v>45354</v>
      </c>
      <c r="F11" t="s">
        <v>156</v>
      </c>
      <c r="G11" t="s">
        <v>962</v>
      </c>
      <c r="H11" t="s">
        <v>40</v>
      </c>
      <c r="I11" s="4">
        <v>23235.85441003446</v>
      </c>
      <c r="J11">
        <v>442</v>
      </c>
      <c r="K11" t="s">
        <v>36</v>
      </c>
      <c r="L11" s="6">
        <v>45366</v>
      </c>
      <c r="M11" t="s">
        <v>50</v>
      </c>
      <c r="N11" t="s">
        <v>1746</v>
      </c>
      <c r="O11" t="s">
        <v>114</v>
      </c>
      <c r="P11">
        <v>12</v>
      </c>
      <c r="Q11" t="s">
        <v>47</v>
      </c>
    </row>
    <row r="12" spans="1:17">
      <c r="A12">
        <v>59</v>
      </c>
      <c r="B12" t="s">
        <v>138</v>
      </c>
      <c r="C12" t="s">
        <v>141</v>
      </c>
      <c r="D12" t="s">
        <v>30</v>
      </c>
      <c r="E12" s="6">
        <v>45361</v>
      </c>
      <c r="F12" t="s">
        <v>157</v>
      </c>
      <c r="G12" t="s">
        <v>963</v>
      </c>
      <c r="H12" t="s">
        <v>41</v>
      </c>
      <c r="I12" s="4">
        <v>34365.99712395978</v>
      </c>
      <c r="J12">
        <v>157</v>
      </c>
      <c r="K12" t="s">
        <v>36</v>
      </c>
      <c r="L12" s="6">
        <v>45367</v>
      </c>
      <c r="M12" t="s">
        <v>51</v>
      </c>
      <c r="N12" t="s">
        <v>1746</v>
      </c>
      <c r="O12" t="s">
        <v>114</v>
      </c>
      <c r="P12">
        <v>6</v>
      </c>
      <c r="Q12" t="s">
        <v>47</v>
      </c>
    </row>
    <row r="13" spans="1:17">
      <c r="A13">
        <v>74</v>
      </c>
      <c r="B13" t="s">
        <v>138</v>
      </c>
      <c r="C13" t="s">
        <v>139</v>
      </c>
      <c r="D13" t="s">
        <v>27</v>
      </c>
      <c r="E13" s="6">
        <v>45376</v>
      </c>
      <c r="F13" t="s">
        <v>158</v>
      </c>
      <c r="G13" t="s">
        <v>964</v>
      </c>
      <c r="H13" t="s">
        <v>40</v>
      </c>
      <c r="I13" s="4">
        <v>45438.90694636938</v>
      </c>
      <c r="J13">
        <v>256</v>
      </c>
      <c r="K13" t="s">
        <v>35</v>
      </c>
      <c r="L13" s="6">
        <v>45385</v>
      </c>
      <c r="M13" t="s">
        <v>54</v>
      </c>
      <c r="N13" t="s">
        <v>1748</v>
      </c>
      <c r="O13" t="s">
        <v>114</v>
      </c>
      <c r="P13">
        <v>9</v>
      </c>
      <c r="Q13" t="s">
        <v>48</v>
      </c>
    </row>
    <row r="14" spans="1:17">
      <c r="A14">
        <v>59</v>
      </c>
      <c r="B14" t="s">
        <v>137</v>
      </c>
      <c r="C14" t="s">
        <v>144</v>
      </c>
      <c r="D14" t="s">
        <v>31</v>
      </c>
      <c r="E14" s="6">
        <v>45378</v>
      </c>
      <c r="F14" t="s">
        <v>159</v>
      </c>
      <c r="G14" t="s">
        <v>965</v>
      </c>
      <c r="H14" t="s">
        <v>38</v>
      </c>
      <c r="I14" s="4">
        <v>6191.39265563093</v>
      </c>
      <c r="J14">
        <v>192</v>
      </c>
      <c r="K14" t="s">
        <v>36</v>
      </c>
      <c r="L14" s="6">
        <v>45403</v>
      </c>
      <c r="M14" t="s">
        <v>54</v>
      </c>
      <c r="N14" t="s">
        <v>1748</v>
      </c>
      <c r="O14" t="s">
        <v>114</v>
      </c>
      <c r="P14">
        <v>25</v>
      </c>
      <c r="Q14" t="s">
        <v>47</v>
      </c>
    </row>
    <row r="15" spans="1:17">
      <c r="A15">
        <v>79</v>
      </c>
      <c r="B15" t="s">
        <v>138</v>
      </c>
      <c r="C15" t="s">
        <v>140</v>
      </c>
      <c r="D15" t="s">
        <v>32</v>
      </c>
      <c r="E15" s="6">
        <v>45363</v>
      </c>
      <c r="F15" t="s">
        <v>160</v>
      </c>
      <c r="G15" t="s">
        <v>966</v>
      </c>
      <c r="H15" t="s">
        <v>38</v>
      </c>
      <c r="I15" s="4">
        <v>37879.97903164024</v>
      </c>
      <c r="J15">
        <v>110</v>
      </c>
      <c r="K15" t="s">
        <v>34</v>
      </c>
      <c r="L15" s="6">
        <v>45386</v>
      </c>
      <c r="M15" t="s">
        <v>50</v>
      </c>
      <c r="N15" t="s">
        <v>1747</v>
      </c>
      <c r="O15" t="s">
        <v>114</v>
      </c>
      <c r="P15">
        <v>23</v>
      </c>
      <c r="Q15" t="s">
        <v>48</v>
      </c>
    </row>
    <row r="16" spans="1:17">
      <c r="A16">
        <v>34</v>
      </c>
      <c r="B16" t="s">
        <v>138</v>
      </c>
      <c r="C16" t="s">
        <v>141</v>
      </c>
      <c r="D16" t="s">
        <v>32</v>
      </c>
      <c r="E16" s="6">
        <v>45360</v>
      </c>
      <c r="F16" t="s">
        <v>161</v>
      </c>
      <c r="G16" t="s">
        <v>967</v>
      </c>
      <c r="H16" t="s">
        <v>41</v>
      </c>
      <c r="I16" s="4">
        <v>1820.015820719944</v>
      </c>
      <c r="J16">
        <v>356</v>
      </c>
      <c r="K16" t="s">
        <v>35</v>
      </c>
      <c r="L16" s="6">
        <v>45374</v>
      </c>
      <c r="M16" t="s">
        <v>50</v>
      </c>
      <c r="N16" t="s">
        <v>1747</v>
      </c>
      <c r="O16" t="s">
        <v>114</v>
      </c>
      <c r="P16">
        <v>14</v>
      </c>
      <c r="Q16" t="s">
        <v>45</v>
      </c>
    </row>
    <row r="17" spans="1:17">
      <c r="A17">
        <v>24</v>
      </c>
      <c r="B17" t="s">
        <v>137</v>
      </c>
      <c r="C17" t="s">
        <v>144</v>
      </c>
      <c r="D17" t="s">
        <v>29</v>
      </c>
      <c r="E17" s="6">
        <v>45370</v>
      </c>
      <c r="F17" t="s">
        <v>162</v>
      </c>
      <c r="G17" t="s">
        <v>968</v>
      </c>
      <c r="H17" t="s">
        <v>41</v>
      </c>
      <c r="I17" s="4">
        <v>18932.31466702556</v>
      </c>
      <c r="J17">
        <v>115</v>
      </c>
      <c r="K17" t="s">
        <v>36</v>
      </c>
      <c r="L17" s="6">
        <v>45384</v>
      </c>
      <c r="M17" t="s">
        <v>53</v>
      </c>
      <c r="N17" t="s">
        <v>1746</v>
      </c>
      <c r="O17" t="s">
        <v>114</v>
      </c>
      <c r="P17">
        <v>14</v>
      </c>
      <c r="Q17" t="s">
        <v>45</v>
      </c>
    </row>
    <row r="18" spans="1:17">
      <c r="A18">
        <v>31</v>
      </c>
      <c r="B18" t="s">
        <v>137</v>
      </c>
      <c r="C18" t="s">
        <v>140</v>
      </c>
      <c r="D18" t="s">
        <v>27</v>
      </c>
      <c r="E18" s="6">
        <v>45370</v>
      </c>
      <c r="F18" t="s">
        <v>163</v>
      </c>
      <c r="G18" t="s">
        <v>969</v>
      </c>
      <c r="H18" t="s">
        <v>40</v>
      </c>
      <c r="I18" s="4">
        <v>50563.79858462743</v>
      </c>
      <c r="J18">
        <v>441</v>
      </c>
      <c r="K18" t="s">
        <v>34</v>
      </c>
      <c r="L18" s="6">
        <v>45389</v>
      </c>
      <c r="M18" t="s">
        <v>53</v>
      </c>
      <c r="N18" t="s">
        <v>1746</v>
      </c>
      <c r="O18" t="s">
        <v>114</v>
      </c>
      <c r="P18">
        <v>19</v>
      </c>
      <c r="Q18" t="s">
        <v>45</v>
      </c>
    </row>
    <row r="19" spans="1:17">
      <c r="A19">
        <v>56</v>
      </c>
      <c r="B19" t="s">
        <v>138</v>
      </c>
      <c r="C19" t="s">
        <v>143</v>
      </c>
      <c r="D19" t="s">
        <v>29</v>
      </c>
      <c r="E19" s="6">
        <v>45374</v>
      </c>
      <c r="F19" t="s">
        <v>164</v>
      </c>
      <c r="G19" t="s">
        <v>970</v>
      </c>
      <c r="H19" t="s">
        <v>42</v>
      </c>
      <c r="I19" s="4">
        <v>28510.80721545004</v>
      </c>
      <c r="J19">
        <v>185</v>
      </c>
      <c r="K19" t="s">
        <v>35</v>
      </c>
      <c r="L19" s="6">
        <v>45396</v>
      </c>
      <c r="M19" t="s">
        <v>54</v>
      </c>
      <c r="N19" t="s">
        <v>1746</v>
      </c>
      <c r="O19" t="s">
        <v>114</v>
      </c>
      <c r="P19">
        <v>22</v>
      </c>
      <c r="Q19" t="s">
        <v>47</v>
      </c>
    </row>
    <row r="20" spans="1:17">
      <c r="A20">
        <v>58</v>
      </c>
      <c r="B20" t="s">
        <v>138</v>
      </c>
      <c r="C20" t="s">
        <v>141</v>
      </c>
      <c r="D20" t="s">
        <v>31</v>
      </c>
      <c r="E20" s="6">
        <v>45352</v>
      </c>
      <c r="F20" t="s">
        <v>165</v>
      </c>
      <c r="G20" t="s">
        <v>971</v>
      </c>
      <c r="H20" t="s">
        <v>38</v>
      </c>
      <c r="I20" s="4">
        <v>49118.59126152389</v>
      </c>
      <c r="J20">
        <v>114</v>
      </c>
      <c r="K20" t="s">
        <v>34</v>
      </c>
      <c r="L20" s="6">
        <v>45371</v>
      </c>
      <c r="M20" t="s">
        <v>54</v>
      </c>
      <c r="N20" t="s">
        <v>1746</v>
      </c>
      <c r="O20" t="s">
        <v>114</v>
      </c>
      <c r="P20">
        <v>19</v>
      </c>
      <c r="Q20" t="s">
        <v>47</v>
      </c>
    </row>
    <row r="21" spans="1:17">
      <c r="A21">
        <v>58</v>
      </c>
      <c r="B21" t="s">
        <v>137</v>
      </c>
      <c r="C21" t="s">
        <v>143</v>
      </c>
      <c r="D21" t="s">
        <v>29</v>
      </c>
      <c r="E21" s="6">
        <v>45380</v>
      </c>
      <c r="F21" t="s">
        <v>166</v>
      </c>
      <c r="G21" t="s">
        <v>972</v>
      </c>
      <c r="H21" t="s">
        <v>39</v>
      </c>
      <c r="I21" s="4">
        <v>49446.45817935562</v>
      </c>
      <c r="J21">
        <v>108</v>
      </c>
      <c r="K21" t="s">
        <v>35</v>
      </c>
      <c r="L21" s="6">
        <v>45398</v>
      </c>
      <c r="M21" t="s">
        <v>54</v>
      </c>
      <c r="N21" t="s">
        <v>1747</v>
      </c>
      <c r="O21" t="s">
        <v>114</v>
      </c>
      <c r="P21">
        <v>18</v>
      </c>
      <c r="Q21" t="s">
        <v>47</v>
      </c>
    </row>
    <row r="22" spans="1:17">
      <c r="A22">
        <v>40</v>
      </c>
      <c r="B22" t="s">
        <v>138</v>
      </c>
      <c r="C22" t="s">
        <v>143</v>
      </c>
      <c r="D22" t="s">
        <v>31</v>
      </c>
      <c r="E22" s="6">
        <v>45363</v>
      </c>
      <c r="F22" t="s">
        <v>167</v>
      </c>
      <c r="G22" t="s">
        <v>973</v>
      </c>
      <c r="H22" t="s">
        <v>40</v>
      </c>
      <c r="I22" s="4">
        <v>5315.705616256563</v>
      </c>
      <c r="J22">
        <v>258</v>
      </c>
      <c r="K22" t="s">
        <v>35</v>
      </c>
      <c r="L22" s="6">
        <v>45376</v>
      </c>
      <c r="M22" t="s">
        <v>53</v>
      </c>
      <c r="N22" t="s">
        <v>1747</v>
      </c>
      <c r="O22" t="s">
        <v>114</v>
      </c>
      <c r="P22">
        <v>13</v>
      </c>
      <c r="Q22" t="s">
        <v>46</v>
      </c>
    </row>
    <row r="23" spans="1:17">
      <c r="A23">
        <v>82</v>
      </c>
      <c r="B23" t="s">
        <v>137</v>
      </c>
      <c r="C23" t="s">
        <v>142</v>
      </c>
      <c r="D23" t="s">
        <v>31</v>
      </c>
      <c r="E23" s="6">
        <v>45361</v>
      </c>
      <c r="F23" t="s">
        <v>168</v>
      </c>
      <c r="G23" t="s">
        <v>974</v>
      </c>
      <c r="H23" t="s">
        <v>40</v>
      </c>
      <c r="I23" s="4">
        <v>27512.91316943404</v>
      </c>
      <c r="J23">
        <v>442</v>
      </c>
      <c r="K23" t="s">
        <v>35</v>
      </c>
      <c r="L23" s="6">
        <v>45389</v>
      </c>
      <c r="M23" t="s">
        <v>50</v>
      </c>
      <c r="N23" t="s">
        <v>1748</v>
      </c>
      <c r="O23" t="s">
        <v>114</v>
      </c>
      <c r="P23">
        <v>28</v>
      </c>
      <c r="Q23" t="s">
        <v>48</v>
      </c>
    </row>
    <row r="24" spans="1:17">
      <c r="A24">
        <v>20</v>
      </c>
      <c r="B24" t="s">
        <v>138</v>
      </c>
      <c r="C24" t="s">
        <v>142</v>
      </c>
      <c r="D24" t="s">
        <v>30</v>
      </c>
      <c r="E24" s="6">
        <v>45374</v>
      </c>
      <c r="F24" t="s">
        <v>169</v>
      </c>
      <c r="G24" t="s">
        <v>975</v>
      </c>
      <c r="H24" t="s">
        <v>39</v>
      </c>
      <c r="I24" s="4">
        <v>38570.12640742798</v>
      </c>
      <c r="J24">
        <v>487</v>
      </c>
      <c r="K24" t="s">
        <v>35</v>
      </c>
      <c r="L24" s="6">
        <v>45403</v>
      </c>
      <c r="M24" t="s">
        <v>53</v>
      </c>
      <c r="N24" t="s">
        <v>1747</v>
      </c>
      <c r="O24" t="s">
        <v>114</v>
      </c>
      <c r="P24">
        <v>29</v>
      </c>
      <c r="Q24" t="s">
        <v>45</v>
      </c>
    </row>
    <row r="25" spans="1:17">
      <c r="A25">
        <v>57</v>
      </c>
      <c r="B25" t="s">
        <v>137</v>
      </c>
      <c r="C25" t="s">
        <v>144</v>
      </c>
      <c r="D25" t="s">
        <v>30</v>
      </c>
      <c r="E25" s="6">
        <v>45361</v>
      </c>
      <c r="F25" t="s">
        <v>170</v>
      </c>
      <c r="G25" t="s">
        <v>976</v>
      </c>
      <c r="H25" t="s">
        <v>42</v>
      </c>
      <c r="I25" s="4">
        <v>46084.67376896025</v>
      </c>
      <c r="J25">
        <v>224</v>
      </c>
      <c r="K25" t="s">
        <v>34</v>
      </c>
      <c r="L25" s="6">
        <v>45373</v>
      </c>
      <c r="M25" t="s">
        <v>53</v>
      </c>
      <c r="N25" t="s">
        <v>1747</v>
      </c>
      <c r="O25" t="s">
        <v>114</v>
      </c>
      <c r="P25">
        <v>12</v>
      </c>
      <c r="Q25" t="s">
        <v>47</v>
      </c>
    </row>
    <row r="26" spans="1:17">
      <c r="A26">
        <v>38</v>
      </c>
      <c r="B26" t="s">
        <v>137</v>
      </c>
      <c r="C26" t="s">
        <v>142</v>
      </c>
      <c r="D26" t="s">
        <v>27</v>
      </c>
      <c r="E26" s="6">
        <v>45371</v>
      </c>
      <c r="F26" t="s">
        <v>171</v>
      </c>
      <c r="G26" t="s">
        <v>977</v>
      </c>
      <c r="H26" t="s">
        <v>38</v>
      </c>
      <c r="I26" s="4">
        <v>47700.53752862256</v>
      </c>
      <c r="J26">
        <v>303</v>
      </c>
      <c r="K26" t="s">
        <v>35</v>
      </c>
      <c r="L26" s="6">
        <v>45387</v>
      </c>
      <c r="M26" t="s">
        <v>53</v>
      </c>
      <c r="N26" t="s">
        <v>1748</v>
      </c>
      <c r="O26" t="s">
        <v>114</v>
      </c>
      <c r="P26">
        <v>16</v>
      </c>
      <c r="Q26" t="s">
        <v>46</v>
      </c>
    </row>
    <row r="27" spans="1:17">
      <c r="A27">
        <v>53</v>
      </c>
      <c r="B27" t="s">
        <v>138</v>
      </c>
      <c r="C27" t="s">
        <v>145</v>
      </c>
      <c r="D27" t="s">
        <v>31</v>
      </c>
      <c r="E27" s="6">
        <v>45361</v>
      </c>
      <c r="F27" t="s">
        <v>172</v>
      </c>
      <c r="G27" t="s">
        <v>978</v>
      </c>
      <c r="H27" t="s">
        <v>41</v>
      </c>
      <c r="I27" s="4">
        <v>26223.16583478957</v>
      </c>
      <c r="J27">
        <v>122</v>
      </c>
      <c r="K27" t="s">
        <v>34</v>
      </c>
      <c r="L27" s="6">
        <v>45366</v>
      </c>
      <c r="M27" t="s">
        <v>53</v>
      </c>
      <c r="N27" t="s">
        <v>1748</v>
      </c>
      <c r="O27" t="s">
        <v>114</v>
      </c>
      <c r="P27">
        <v>5</v>
      </c>
      <c r="Q27" t="s">
        <v>47</v>
      </c>
    </row>
    <row r="28" spans="1:17">
      <c r="A28">
        <v>77</v>
      </c>
      <c r="B28" t="s">
        <v>138</v>
      </c>
      <c r="C28" t="s">
        <v>145</v>
      </c>
      <c r="D28" t="s">
        <v>27</v>
      </c>
      <c r="E28" s="6">
        <v>45364</v>
      </c>
      <c r="F28" t="s">
        <v>173</v>
      </c>
      <c r="G28" t="s">
        <v>979</v>
      </c>
      <c r="H28" t="s">
        <v>41</v>
      </c>
      <c r="I28" s="4">
        <v>32136.51040768938</v>
      </c>
      <c r="J28">
        <v>384</v>
      </c>
      <c r="K28" t="s">
        <v>35</v>
      </c>
      <c r="L28" s="6">
        <v>45380</v>
      </c>
      <c r="M28" t="s">
        <v>53</v>
      </c>
      <c r="N28" t="s">
        <v>1746</v>
      </c>
      <c r="O28" t="s">
        <v>114</v>
      </c>
      <c r="P28">
        <v>16</v>
      </c>
      <c r="Q28" t="s">
        <v>48</v>
      </c>
    </row>
    <row r="29" spans="1:17">
      <c r="A29">
        <v>52</v>
      </c>
      <c r="B29" t="s">
        <v>137</v>
      </c>
      <c r="C29" t="s">
        <v>142</v>
      </c>
      <c r="D29" t="s">
        <v>32</v>
      </c>
      <c r="E29" s="6">
        <v>45361</v>
      </c>
      <c r="F29" t="s">
        <v>174</v>
      </c>
      <c r="G29" t="s">
        <v>980</v>
      </c>
      <c r="H29" t="s">
        <v>42</v>
      </c>
      <c r="I29" s="4">
        <v>32633.20307412901</v>
      </c>
      <c r="J29">
        <v>484</v>
      </c>
      <c r="K29" t="s">
        <v>35</v>
      </c>
      <c r="L29" s="6">
        <v>45377</v>
      </c>
      <c r="M29" t="s">
        <v>50</v>
      </c>
      <c r="N29" t="s">
        <v>1748</v>
      </c>
      <c r="O29" t="s">
        <v>114</v>
      </c>
      <c r="P29">
        <v>16</v>
      </c>
      <c r="Q29" t="s">
        <v>47</v>
      </c>
    </row>
    <row r="30" spans="1:17">
      <c r="A30">
        <v>26</v>
      </c>
      <c r="B30" t="s">
        <v>138</v>
      </c>
      <c r="C30" t="s">
        <v>139</v>
      </c>
      <c r="D30" t="s">
        <v>30</v>
      </c>
      <c r="E30" s="6">
        <v>45376</v>
      </c>
      <c r="F30" t="s">
        <v>175</v>
      </c>
      <c r="G30" t="s">
        <v>981</v>
      </c>
      <c r="H30" t="s">
        <v>39</v>
      </c>
      <c r="I30" s="4">
        <v>46094.97543990929</v>
      </c>
      <c r="J30">
        <v>452</v>
      </c>
      <c r="K30" t="s">
        <v>36</v>
      </c>
      <c r="L30" s="6">
        <v>45381</v>
      </c>
      <c r="M30" t="s">
        <v>53</v>
      </c>
      <c r="N30" t="s">
        <v>1747</v>
      </c>
      <c r="O30" t="s">
        <v>114</v>
      </c>
      <c r="P30">
        <v>5</v>
      </c>
      <c r="Q30" t="s">
        <v>45</v>
      </c>
    </row>
    <row r="31" spans="1:17">
      <c r="A31">
        <v>33</v>
      </c>
      <c r="B31" t="s">
        <v>138</v>
      </c>
      <c r="C31" t="s">
        <v>146</v>
      </c>
      <c r="D31" t="s">
        <v>32</v>
      </c>
      <c r="E31" s="6">
        <v>45366</v>
      </c>
      <c r="F31" t="s">
        <v>176</v>
      </c>
      <c r="G31" t="s">
        <v>982</v>
      </c>
      <c r="H31" t="s">
        <v>39</v>
      </c>
      <c r="I31" s="4">
        <v>7475.740732901861</v>
      </c>
      <c r="J31">
        <v>373</v>
      </c>
      <c r="K31" t="s">
        <v>36</v>
      </c>
      <c r="L31" s="6">
        <v>45371</v>
      </c>
      <c r="M31" t="s">
        <v>53</v>
      </c>
      <c r="N31" t="s">
        <v>1747</v>
      </c>
      <c r="O31" t="s">
        <v>114</v>
      </c>
      <c r="P31">
        <v>5</v>
      </c>
      <c r="Q31" t="s">
        <v>45</v>
      </c>
    </row>
    <row r="32" spans="1:17">
      <c r="A32">
        <v>48</v>
      </c>
      <c r="B32" t="s">
        <v>137</v>
      </c>
      <c r="C32" t="s">
        <v>145</v>
      </c>
      <c r="D32" t="s">
        <v>30</v>
      </c>
      <c r="E32" s="6">
        <v>45354</v>
      </c>
      <c r="F32" t="s">
        <v>177</v>
      </c>
      <c r="G32" t="s">
        <v>983</v>
      </c>
      <c r="H32" t="s">
        <v>40</v>
      </c>
      <c r="I32" s="4">
        <v>5352.549488031164</v>
      </c>
      <c r="J32">
        <v>405</v>
      </c>
      <c r="K32" t="s">
        <v>34</v>
      </c>
      <c r="L32" s="6">
        <v>45378</v>
      </c>
      <c r="M32" t="s">
        <v>51</v>
      </c>
      <c r="N32" t="s">
        <v>1747</v>
      </c>
      <c r="O32" t="s">
        <v>114</v>
      </c>
      <c r="P32">
        <v>24</v>
      </c>
      <c r="Q32" t="s">
        <v>46</v>
      </c>
    </row>
    <row r="33" spans="1:17">
      <c r="A33">
        <v>19</v>
      </c>
      <c r="B33" t="s">
        <v>137</v>
      </c>
      <c r="C33" t="s">
        <v>146</v>
      </c>
      <c r="D33" t="s">
        <v>31</v>
      </c>
      <c r="E33" s="6">
        <v>45378</v>
      </c>
      <c r="F33" t="s">
        <v>178</v>
      </c>
      <c r="G33" t="s">
        <v>984</v>
      </c>
      <c r="H33" t="s">
        <v>38</v>
      </c>
      <c r="I33" s="4">
        <v>37309.35215875852</v>
      </c>
      <c r="J33">
        <v>431</v>
      </c>
      <c r="K33" t="s">
        <v>35</v>
      </c>
      <c r="L33" s="6">
        <v>45382</v>
      </c>
      <c r="M33" t="s">
        <v>53</v>
      </c>
      <c r="N33" t="s">
        <v>1746</v>
      </c>
      <c r="O33" t="s">
        <v>114</v>
      </c>
      <c r="P33">
        <v>4</v>
      </c>
      <c r="Q33" t="s">
        <v>45</v>
      </c>
    </row>
    <row r="34" spans="1:17">
      <c r="A34">
        <v>47</v>
      </c>
      <c r="B34" t="s">
        <v>137</v>
      </c>
      <c r="C34" t="s">
        <v>144</v>
      </c>
      <c r="D34" t="s">
        <v>27</v>
      </c>
      <c r="E34" s="6">
        <v>45369</v>
      </c>
      <c r="F34" t="s">
        <v>179</v>
      </c>
      <c r="G34" t="s">
        <v>985</v>
      </c>
      <c r="H34" t="s">
        <v>40</v>
      </c>
      <c r="I34" s="4">
        <v>23995.14739624042</v>
      </c>
      <c r="J34">
        <v>302</v>
      </c>
      <c r="K34" t="s">
        <v>34</v>
      </c>
      <c r="L34" s="6">
        <v>45372</v>
      </c>
      <c r="M34" t="s">
        <v>50</v>
      </c>
      <c r="N34" t="s">
        <v>1746</v>
      </c>
      <c r="O34" t="s">
        <v>114</v>
      </c>
      <c r="P34">
        <v>3</v>
      </c>
      <c r="Q34" t="s">
        <v>46</v>
      </c>
    </row>
    <row r="35" spans="1:17">
      <c r="A35">
        <v>30</v>
      </c>
      <c r="B35" t="s">
        <v>138</v>
      </c>
      <c r="C35" t="s">
        <v>146</v>
      </c>
      <c r="D35" t="s">
        <v>29</v>
      </c>
      <c r="E35" s="6">
        <v>45370</v>
      </c>
      <c r="F35" t="s">
        <v>180</v>
      </c>
      <c r="G35" t="s">
        <v>986</v>
      </c>
      <c r="H35" t="s">
        <v>41</v>
      </c>
      <c r="I35" s="4">
        <v>43838.29197754161</v>
      </c>
      <c r="J35">
        <v>386</v>
      </c>
      <c r="K35" t="s">
        <v>36</v>
      </c>
      <c r="L35" s="6">
        <v>45377</v>
      </c>
      <c r="M35" t="s">
        <v>50</v>
      </c>
      <c r="N35" t="s">
        <v>1747</v>
      </c>
      <c r="O35" t="s">
        <v>114</v>
      </c>
      <c r="P35">
        <v>7</v>
      </c>
      <c r="Q35" t="s">
        <v>45</v>
      </c>
    </row>
    <row r="36" spans="1:17">
      <c r="A36">
        <v>60</v>
      </c>
      <c r="B36" t="s">
        <v>138</v>
      </c>
      <c r="C36" t="s">
        <v>145</v>
      </c>
      <c r="D36" t="s">
        <v>30</v>
      </c>
      <c r="E36" s="6">
        <v>45360</v>
      </c>
      <c r="F36" t="s">
        <v>181</v>
      </c>
      <c r="G36" t="s">
        <v>987</v>
      </c>
      <c r="H36" t="s">
        <v>42</v>
      </c>
      <c r="I36" s="4">
        <v>16321.00300803194</v>
      </c>
      <c r="J36">
        <v>475</v>
      </c>
      <c r="K36" t="s">
        <v>34</v>
      </c>
      <c r="L36" s="6">
        <v>45384</v>
      </c>
      <c r="M36" t="s">
        <v>50</v>
      </c>
      <c r="N36" t="s">
        <v>1746</v>
      </c>
      <c r="O36" t="s">
        <v>114</v>
      </c>
      <c r="P36">
        <v>24</v>
      </c>
      <c r="Q36" t="s">
        <v>47</v>
      </c>
    </row>
    <row r="37" spans="1:17">
      <c r="A37">
        <v>68</v>
      </c>
      <c r="B37" t="s">
        <v>137</v>
      </c>
      <c r="C37" t="s">
        <v>145</v>
      </c>
      <c r="D37" t="s">
        <v>27</v>
      </c>
      <c r="E37" s="6">
        <v>45356</v>
      </c>
      <c r="F37" t="s">
        <v>182</v>
      </c>
      <c r="G37" t="s">
        <v>988</v>
      </c>
      <c r="H37" t="s">
        <v>38</v>
      </c>
      <c r="I37" s="4">
        <v>20909.8533293255</v>
      </c>
      <c r="J37">
        <v>386</v>
      </c>
      <c r="K37" t="s">
        <v>35</v>
      </c>
      <c r="L37" s="6">
        <v>45386</v>
      </c>
      <c r="M37" t="s">
        <v>52</v>
      </c>
      <c r="N37" t="s">
        <v>1746</v>
      </c>
      <c r="O37" t="s">
        <v>114</v>
      </c>
      <c r="P37">
        <v>30</v>
      </c>
      <c r="Q37" t="s">
        <v>48</v>
      </c>
    </row>
    <row r="38" spans="1:17">
      <c r="A38">
        <v>79</v>
      </c>
      <c r="B38" t="s">
        <v>137</v>
      </c>
      <c r="C38" t="s">
        <v>146</v>
      </c>
      <c r="D38" t="s">
        <v>28</v>
      </c>
      <c r="E38" s="6">
        <v>45380</v>
      </c>
      <c r="F38" t="s">
        <v>183</v>
      </c>
      <c r="G38" t="s">
        <v>989</v>
      </c>
      <c r="H38" t="s">
        <v>38</v>
      </c>
      <c r="I38" s="4">
        <v>28958.31266075389</v>
      </c>
      <c r="J38">
        <v>258</v>
      </c>
      <c r="K38" t="s">
        <v>35</v>
      </c>
      <c r="L38" s="6">
        <v>45392</v>
      </c>
      <c r="M38" t="s">
        <v>53</v>
      </c>
      <c r="N38" t="s">
        <v>1748</v>
      </c>
      <c r="O38" t="s">
        <v>114</v>
      </c>
      <c r="P38">
        <v>12</v>
      </c>
      <c r="Q38" t="s">
        <v>48</v>
      </c>
    </row>
    <row r="39" spans="1:17">
      <c r="A39">
        <v>71</v>
      </c>
      <c r="B39" t="s">
        <v>137</v>
      </c>
      <c r="C39" t="s">
        <v>140</v>
      </c>
      <c r="D39" t="s">
        <v>28</v>
      </c>
      <c r="E39" s="6">
        <v>45355</v>
      </c>
      <c r="F39" t="s">
        <v>184</v>
      </c>
      <c r="G39" t="s">
        <v>990</v>
      </c>
      <c r="H39" t="s">
        <v>38</v>
      </c>
      <c r="I39" s="4">
        <v>42757.45069486345</v>
      </c>
      <c r="J39">
        <v>299</v>
      </c>
      <c r="K39" t="s">
        <v>34</v>
      </c>
      <c r="L39" s="6">
        <v>45363</v>
      </c>
      <c r="M39" t="s">
        <v>53</v>
      </c>
      <c r="N39" t="s">
        <v>1746</v>
      </c>
      <c r="O39" t="s">
        <v>114</v>
      </c>
      <c r="P39">
        <v>8</v>
      </c>
      <c r="Q39" t="s">
        <v>48</v>
      </c>
    </row>
    <row r="40" spans="1:17">
      <c r="A40">
        <v>24</v>
      </c>
      <c r="B40" t="s">
        <v>137</v>
      </c>
      <c r="C40" t="s">
        <v>140</v>
      </c>
      <c r="D40" t="s">
        <v>32</v>
      </c>
      <c r="E40" s="6">
        <v>45356</v>
      </c>
      <c r="F40" t="s">
        <v>185</v>
      </c>
      <c r="G40" t="s">
        <v>991</v>
      </c>
      <c r="H40" t="s">
        <v>39</v>
      </c>
      <c r="I40" s="4">
        <v>35659.26848977001</v>
      </c>
      <c r="J40">
        <v>463</v>
      </c>
      <c r="K40" t="s">
        <v>35</v>
      </c>
      <c r="L40" s="6">
        <v>45367</v>
      </c>
      <c r="M40" t="s">
        <v>52</v>
      </c>
      <c r="N40" t="s">
        <v>1747</v>
      </c>
      <c r="O40" t="s">
        <v>114</v>
      </c>
      <c r="P40">
        <v>11</v>
      </c>
      <c r="Q40" t="s">
        <v>45</v>
      </c>
    </row>
    <row r="41" spans="1:17">
      <c r="A41">
        <v>79</v>
      </c>
      <c r="B41" t="s">
        <v>138</v>
      </c>
      <c r="C41" t="s">
        <v>146</v>
      </c>
      <c r="D41" t="s">
        <v>31</v>
      </c>
      <c r="E41" s="6">
        <v>45360</v>
      </c>
      <c r="F41" t="s">
        <v>186</v>
      </c>
      <c r="G41" t="s">
        <v>992</v>
      </c>
      <c r="H41" t="s">
        <v>42</v>
      </c>
      <c r="I41" s="4">
        <v>18231.06576564676</v>
      </c>
      <c r="J41">
        <v>130</v>
      </c>
      <c r="K41" t="s">
        <v>35</v>
      </c>
      <c r="L41" s="6">
        <v>45366</v>
      </c>
      <c r="M41" t="s">
        <v>52</v>
      </c>
      <c r="N41" t="s">
        <v>1748</v>
      </c>
      <c r="O41" t="s">
        <v>114</v>
      </c>
      <c r="P41">
        <v>6</v>
      </c>
      <c r="Q41" t="s">
        <v>48</v>
      </c>
    </row>
    <row r="42" spans="1:17">
      <c r="A42">
        <v>20</v>
      </c>
      <c r="B42" t="s">
        <v>137</v>
      </c>
      <c r="C42" t="s">
        <v>144</v>
      </c>
      <c r="D42" t="s">
        <v>32</v>
      </c>
      <c r="E42" s="6">
        <v>45380</v>
      </c>
      <c r="F42" t="s">
        <v>187</v>
      </c>
      <c r="G42" t="s">
        <v>993</v>
      </c>
      <c r="H42" t="s">
        <v>39</v>
      </c>
      <c r="I42" s="4">
        <v>21792.32569218778</v>
      </c>
      <c r="J42">
        <v>266</v>
      </c>
      <c r="K42" t="s">
        <v>34</v>
      </c>
      <c r="L42" s="6">
        <v>45396</v>
      </c>
      <c r="M42" t="s">
        <v>50</v>
      </c>
      <c r="N42" t="s">
        <v>1746</v>
      </c>
      <c r="O42" t="s">
        <v>114</v>
      </c>
      <c r="P42">
        <v>16</v>
      </c>
      <c r="Q42" t="s">
        <v>45</v>
      </c>
    </row>
    <row r="43" spans="1:17">
      <c r="A43">
        <v>51</v>
      </c>
      <c r="B43" t="s">
        <v>137</v>
      </c>
      <c r="C43" t="s">
        <v>142</v>
      </c>
      <c r="D43" t="s">
        <v>28</v>
      </c>
      <c r="E43" s="6">
        <v>45382</v>
      </c>
      <c r="F43" t="s">
        <v>188</v>
      </c>
      <c r="G43" t="s">
        <v>994</v>
      </c>
      <c r="H43" t="s">
        <v>39</v>
      </c>
      <c r="I43" s="4">
        <v>11090.34355912144</v>
      </c>
      <c r="J43">
        <v>307</v>
      </c>
      <c r="K43" t="s">
        <v>35</v>
      </c>
      <c r="L43" s="6">
        <v>45387</v>
      </c>
      <c r="M43" t="s">
        <v>50</v>
      </c>
      <c r="N43" t="s">
        <v>1747</v>
      </c>
      <c r="O43" t="s">
        <v>114</v>
      </c>
      <c r="P43">
        <v>5</v>
      </c>
      <c r="Q43" t="s">
        <v>47</v>
      </c>
    </row>
    <row r="44" spans="1:17">
      <c r="A44">
        <v>47</v>
      </c>
      <c r="B44" t="s">
        <v>138</v>
      </c>
      <c r="C44" t="s">
        <v>144</v>
      </c>
      <c r="D44" t="s">
        <v>29</v>
      </c>
      <c r="E44" s="6">
        <v>45368</v>
      </c>
      <c r="F44" t="s">
        <v>189</v>
      </c>
      <c r="G44" t="s">
        <v>995</v>
      </c>
      <c r="H44" t="s">
        <v>38</v>
      </c>
      <c r="I44" s="4">
        <v>14361.08630407638</v>
      </c>
      <c r="J44">
        <v>379</v>
      </c>
      <c r="K44" t="s">
        <v>35</v>
      </c>
      <c r="L44" s="6">
        <v>45374</v>
      </c>
      <c r="M44" t="s">
        <v>53</v>
      </c>
      <c r="N44" t="s">
        <v>1746</v>
      </c>
      <c r="O44" t="s">
        <v>114</v>
      </c>
      <c r="P44">
        <v>6</v>
      </c>
      <c r="Q44" t="s">
        <v>46</v>
      </c>
    </row>
    <row r="45" spans="1:17">
      <c r="A45">
        <v>55</v>
      </c>
      <c r="B45" t="s">
        <v>138</v>
      </c>
      <c r="C45" t="s">
        <v>143</v>
      </c>
      <c r="D45" t="s">
        <v>32</v>
      </c>
      <c r="E45" s="6">
        <v>45372</v>
      </c>
      <c r="F45" t="s">
        <v>190</v>
      </c>
      <c r="G45" t="s">
        <v>996</v>
      </c>
      <c r="H45" t="s">
        <v>40</v>
      </c>
      <c r="I45" s="4">
        <v>48615.35286399213</v>
      </c>
      <c r="J45">
        <v>329</v>
      </c>
      <c r="K45" t="s">
        <v>35</v>
      </c>
      <c r="L45" s="6">
        <v>45391</v>
      </c>
      <c r="M45" t="s">
        <v>50</v>
      </c>
      <c r="N45" t="s">
        <v>1747</v>
      </c>
      <c r="O45" t="s">
        <v>114</v>
      </c>
      <c r="P45">
        <v>19</v>
      </c>
      <c r="Q45" t="s">
        <v>47</v>
      </c>
    </row>
    <row r="46" spans="1:17">
      <c r="A46">
        <v>42</v>
      </c>
      <c r="B46" t="s">
        <v>138</v>
      </c>
      <c r="C46" t="s">
        <v>144</v>
      </c>
      <c r="D46" t="s">
        <v>28</v>
      </c>
      <c r="E46" s="6">
        <v>45365</v>
      </c>
      <c r="F46" t="s">
        <v>191</v>
      </c>
      <c r="G46" t="s">
        <v>997</v>
      </c>
      <c r="H46" t="s">
        <v>41</v>
      </c>
      <c r="I46" s="4">
        <v>1398.876461928687</v>
      </c>
      <c r="J46">
        <v>377</v>
      </c>
      <c r="K46" t="s">
        <v>35</v>
      </c>
      <c r="L46" s="6">
        <v>45385</v>
      </c>
      <c r="M46" t="s">
        <v>51</v>
      </c>
      <c r="N46" t="s">
        <v>1746</v>
      </c>
      <c r="O46" t="s">
        <v>114</v>
      </c>
      <c r="P46">
        <v>20</v>
      </c>
      <c r="Q46" t="s">
        <v>46</v>
      </c>
    </row>
    <row r="47" spans="1:17">
      <c r="A47">
        <v>25</v>
      </c>
      <c r="B47" t="s">
        <v>137</v>
      </c>
      <c r="C47" t="s">
        <v>144</v>
      </c>
      <c r="D47" t="s">
        <v>28</v>
      </c>
      <c r="E47" s="6">
        <v>45373</v>
      </c>
      <c r="F47" t="s">
        <v>192</v>
      </c>
      <c r="G47" t="s">
        <v>998</v>
      </c>
      <c r="H47" t="s">
        <v>38</v>
      </c>
      <c r="I47" s="4">
        <v>20762.01590134403</v>
      </c>
      <c r="J47">
        <v>442</v>
      </c>
      <c r="K47" t="s">
        <v>35</v>
      </c>
      <c r="L47" s="6">
        <v>45396</v>
      </c>
      <c r="M47" t="s">
        <v>51</v>
      </c>
      <c r="N47" t="s">
        <v>1747</v>
      </c>
      <c r="O47" t="s">
        <v>114</v>
      </c>
      <c r="P47">
        <v>23</v>
      </c>
      <c r="Q47" t="s">
        <v>45</v>
      </c>
    </row>
    <row r="48" spans="1:17">
      <c r="A48">
        <v>51</v>
      </c>
      <c r="B48" t="s">
        <v>138</v>
      </c>
      <c r="C48" t="s">
        <v>146</v>
      </c>
      <c r="D48" t="s">
        <v>31</v>
      </c>
      <c r="E48" s="6">
        <v>45367</v>
      </c>
      <c r="F48" t="s">
        <v>193</v>
      </c>
      <c r="G48" t="s">
        <v>999</v>
      </c>
      <c r="H48" t="s">
        <v>42</v>
      </c>
      <c r="I48" s="4">
        <v>5264.17734768446</v>
      </c>
      <c r="J48">
        <v>459</v>
      </c>
      <c r="K48" t="s">
        <v>35</v>
      </c>
      <c r="L48" s="6">
        <v>45369</v>
      </c>
      <c r="M48" t="s">
        <v>54</v>
      </c>
      <c r="N48" t="s">
        <v>1747</v>
      </c>
      <c r="O48" t="s">
        <v>114</v>
      </c>
      <c r="P48">
        <v>2</v>
      </c>
      <c r="Q48" t="s">
        <v>47</v>
      </c>
    </row>
    <row r="49" spans="1:17">
      <c r="A49">
        <v>75</v>
      </c>
      <c r="B49" t="s">
        <v>137</v>
      </c>
      <c r="C49" t="s">
        <v>142</v>
      </c>
      <c r="D49" t="s">
        <v>31</v>
      </c>
      <c r="E49" s="6">
        <v>45355</v>
      </c>
      <c r="F49" t="s">
        <v>194</v>
      </c>
      <c r="G49" t="s">
        <v>1000</v>
      </c>
      <c r="H49" t="s">
        <v>38</v>
      </c>
      <c r="I49" s="4">
        <v>35294.67720007783</v>
      </c>
      <c r="J49">
        <v>131</v>
      </c>
      <c r="K49" t="s">
        <v>35</v>
      </c>
      <c r="L49" s="6">
        <v>45369</v>
      </c>
      <c r="M49" t="s">
        <v>52</v>
      </c>
      <c r="N49" t="s">
        <v>1746</v>
      </c>
      <c r="O49" t="s">
        <v>114</v>
      </c>
      <c r="P49">
        <v>14</v>
      </c>
      <c r="Q49" t="s">
        <v>48</v>
      </c>
    </row>
    <row r="50" spans="1:17">
      <c r="A50">
        <v>58</v>
      </c>
      <c r="B50" t="s">
        <v>137</v>
      </c>
      <c r="C50" t="s">
        <v>139</v>
      </c>
      <c r="D50" t="s">
        <v>30</v>
      </c>
      <c r="E50" s="6">
        <v>45367</v>
      </c>
      <c r="F50" t="s">
        <v>195</v>
      </c>
      <c r="G50" t="s">
        <v>1001</v>
      </c>
      <c r="H50" t="s">
        <v>40</v>
      </c>
      <c r="I50" s="4">
        <v>29950.72406633985</v>
      </c>
      <c r="J50">
        <v>230</v>
      </c>
      <c r="K50" t="s">
        <v>34</v>
      </c>
      <c r="L50" s="6">
        <v>45368</v>
      </c>
      <c r="M50" t="s">
        <v>54</v>
      </c>
      <c r="N50" t="s">
        <v>1746</v>
      </c>
      <c r="O50" t="s">
        <v>114</v>
      </c>
      <c r="P50">
        <v>1</v>
      </c>
      <c r="Q50" t="s">
        <v>47</v>
      </c>
    </row>
    <row r="51" spans="1:17">
      <c r="A51">
        <v>59</v>
      </c>
      <c r="B51" t="s">
        <v>137</v>
      </c>
      <c r="C51" t="s">
        <v>139</v>
      </c>
      <c r="D51" t="s">
        <v>27</v>
      </c>
      <c r="E51" s="6">
        <v>45376</v>
      </c>
      <c r="F51" t="s">
        <v>196</v>
      </c>
      <c r="G51" t="s">
        <v>1002</v>
      </c>
      <c r="H51" t="s">
        <v>41</v>
      </c>
      <c r="I51" s="4">
        <v>20268.68168380596</v>
      </c>
      <c r="J51">
        <v>237</v>
      </c>
      <c r="K51" t="s">
        <v>34</v>
      </c>
      <c r="L51" s="6">
        <v>45404</v>
      </c>
      <c r="M51" t="s">
        <v>50</v>
      </c>
      <c r="N51" t="s">
        <v>1748</v>
      </c>
      <c r="O51" t="s">
        <v>114</v>
      </c>
      <c r="P51">
        <v>28</v>
      </c>
      <c r="Q51" t="s">
        <v>47</v>
      </c>
    </row>
    <row r="52" spans="1:17">
      <c r="A52">
        <v>22</v>
      </c>
      <c r="B52" t="s">
        <v>137</v>
      </c>
      <c r="C52" t="s">
        <v>141</v>
      </c>
      <c r="D52" t="s">
        <v>28</v>
      </c>
      <c r="E52" s="6">
        <v>45362</v>
      </c>
      <c r="F52" t="s">
        <v>197</v>
      </c>
      <c r="G52" t="s">
        <v>1003</v>
      </c>
      <c r="H52" t="s">
        <v>39</v>
      </c>
      <c r="I52" s="4">
        <v>13294.12236194527</v>
      </c>
      <c r="J52">
        <v>110</v>
      </c>
      <c r="K52" t="s">
        <v>36</v>
      </c>
      <c r="L52" s="6">
        <v>45374</v>
      </c>
      <c r="M52" t="s">
        <v>50</v>
      </c>
      <c r="N52" t="s">
        <v>1748</v>
      </c>
      <c r="O52" t="s">
        <v>114</v>
      </c>
      <c r="P52">
        <v>12</v>
      </c>
      <c r="Q52" t="s">
        <v>45</v>
      </c>
    </row>
    <row r="53" spans="1:17">
      <c r="A53">
        <v>43</v>
      </c>
      <c r="B53" t="s">
        <v>137</v>
      </c>
      <c r="C53" t="s">
        <v>142</v>
      </c>
      <c r="D53" t="s">
        <v>28</v>
      </c>
      <c r="E53" s="6">
        <v>45352</v>
      </c>
      <c r="F53" t="s">
        <v>198</v>
      </c>
      <c r="G53" t="s">
        <v>1004</v>
      </c>
      <c r="H53" t="s">
        <v>39</v>
      </c>
      <c r="I53" s="4">
        <v>36045.06493215321</v>
      </c>
      <c r="J53">
        <v>263</v>
      </c>
      <c r="K53" t="s">
        <v>36</v>
      </c>
      <c r="L53" s="6">
        <v>45366</v>
      </c>
      <c r="M53" t="s">
        <v>53</v>
      </c>
      <c r="N53" t="s">
        <v>1748</v>
      </c>
      <c r="O53" t="s">
        <v>114</v>
      </c>
      <c r="P53">
        <v>14</v>
      </c>
      <c r="Q53" t="s">
        <v>46</v>
      </c>
    </row>
    <row r="54" spans="1:17">
      <c r="A54">
        <v>26</v>
      </c>
      <c r="B54" t="s">
        <v>137</v>
      </c>
      <c r="C54" t="s">
        <v>142</v>
      </c>
      <c r="D54" t="s">
        <v>27</v>
      </c>
      <c r="E54" s="6">
        <v>45357</v>
      </c>
      <c r="F54" t="s">
        <v>199</v>
      </c>
      <c r="G54" t="s">
        <v>1005</v>
      </c>
      <c r="H54" t="s">
        <v>39</v>
      </c>
      <c r="I54" s="4">
        <v>43281.60289184668</v>
      </c>
      <c r="J54">
        <v>253</v>
      </c>
      <c r="K54" t="s">
        <v>36</v>
      </c>
      <c r="L54" s="6">
        <v>45365</v>
      </c>
      <c r="M54" t="s">
        <v>50</v>
      </c>
      <c r="N54" t="s">
        <v>1746</v>
      </c>
      <c r="O54" t="s">
        <v>114</v>
      </c>
      <c r="P54">
        <v>8</v>
      </c>
      <c r="Q54" t="s">
        <v>45</v>
      </c>
    </row>
    <row r="55" spans="1:17">
      <c r="A55">
        <v>85</v>
      </c>
      <c r="B55" t="s">
        <v>137</v>
      </c>
      <c r="C55" t="s">
        <v>146</v>
      </c>
      <c r="D55" t="s">
        <v>30</v>
      </c>
      <c r="E55" s="6">
        <v>45361</v>
      </c>
      <c r="F55" t="s">
        <v>200</v>
      </c>
      <c r="G55" t="s">
        <v>1006</v>
      </c>
      <c r="H55" t="s">
        <v>39</v>
      </c>
      <c r="I55" s="4">
        <v>24166.1399055713</v>
      </c>
      <c r="J55">
        <v>224</v>
      </c>
      <c r="K55" t="s">
        <v>35</v>
      </c>
      <c r="L55" s="6">
        <v>45365</v>
      </c>
      <c r="M55" t="s">
        <v>50</v>
      </c>
      <c r="N55" t="s">
        <v>1747</v>
      </c>
      <c r="O55" t="s">
        <v>114</v>
      </c>
      <c r="P55">
        <v>4</v>
      </c>
      <c r="Q55" t="s">
        <v>48</v>
      </c>
    </row>
    <row r="56" spans="1:17">
      <c r="A56">
        <v>78</v>
      </c>
      <c r="B56" t="s">
        <v>138</v>
      </c>
      <c r="C56" t="s">
        <v>140</v>
      </c>
      <c r="D56" t="s">
        <v>31</v>
      </c>
      <c r="E56" s="6">
        <v>45352</v>
      </c>
      <c r="F56" t="s">
        <v>201</v>
      </c>
      <c r="G56" t="s">
        <v>1007</v>
      </c>
      <c r="H56" t="s">
        <v>40</v>
      </c>
      <c r="I56" s="4">
        <v>24655.23208125536</v>
      </c>
      <c r="J56">
        <v>213</v>
      </c>
      <c r="K56" t="s">
        <v>36</v>
      </c>
      <c r="L56" s="6">
        <v>45359</v>
      </c>
      <c r="M56" t="s">
        <v>50</v>
      </c>
      <c r="N56" t="s">
        <v>1748</v>
      </c>
      <c r="O56" t="s">
        <v>114</v>
      </c>
      <c r="P56">
        <v>7</v>
      </c>
      <c r="Q56" t="s">
        <v>48</v>
      </c>
    </row>
    <row r="57" spans="1:17">
      <c r="A57">
        <v>36</v>
      </c>
      <c r="B57" t="s">
        <v>138</v>
      </c>
      <c r="C57" t="s">
        <v>146</v>
      </c>
      <c r="D57" t="s">
        <v>32</v>
      </c>
      <c r="E57" s="6">
        <v>45379</v>
      </c>
      <c r="F57" t="s">
        <v>202</v>
      </c>
      <c r="G57" t="s">
        <v>1008</v>
      </c>
      <c r="H57" t="s">
        <v>38</v>
      </c>
      <c r="I57" s="4">
        <v>30735.4786052856</v>
      </c>
      <c r="J57">
        <v>166</v>
      </c>
      <c r="K57" t="s">
        <v>36</v>
      </c>
      <c r="L57" s="6">
        <v>45408</v>
      </c>
      <c r="M57" t="s">
        <v>53</v>
      </c>
      <c r="N57" t="s">
        <v>1748</v>
      </c>
      <c r="O57" t="s">
        <v>114</v>
      </c>
      <c r="P57">
        <v>29</v>
      </c>
      <c r="Q57" t="s">
        <v>46</v>
      </c>
    </row>
    <row r="58" spans="1:17">
      <c r="A58">
        <v>52</v>
      </c>
      <c r="B58" t="s">
        <v>138</v>
      </c>
      <c r="C58" t="s">
        <v>141</v>
      </c>
      <c r="D58" t="s">
        <v>29</v>
      </c>
      <c r="E58" s="6">
        <v>45365</v>
      </c>
      <c r="F58" t="s">
        <v>203</v>
      </c>
      <c r="G58" t="s">
        <v>1009</v>
      </c>
      <c r="H58" t="s">
        <v>40</v>
      </c>
      <c r="I58" s="4">
        <v>40494.09179649183</v>
      </c>
      <c r="J58">
        <v>352</v>
      </c>
      <c r="K58" t="s">
        <v>35</v>
      </c>
      <c r="L58" s="6">
        <v>45386</v>
      </c>
      <c r="M58" t="s">
        <v>50</v>
      </c>
      <c r="N58" t="s">
        <v>1748</v>
      </c>
      <c r="O58" t="s">
        <v>114</v>
      </c>
      <c r="P58">
        <v>21</v>
      </c>
      <c r="Q58" t="s">
        <v>47</v>
      </c>
    </row>
    <row r="59" spans="1:17">
      <c r="A59">
        <v>83</v>
      </c>
      <c r="B59" t="s">
        <v>138</v>
      </c>
      <c r="C59" t="s">
        <v>146</v>
      </c>
      <c r="D59" t="s">
        <v>28</v>
      </c>
      <c r="E59" s="6">
        <v>45354</v>
      </c>
      <c r="F59" t="s">
        <v>204</v>
      </c>
      <c r="G59" t="s">
        <v>1010</v>
      </c>
      <c r="H59" t="s">
        <v>39</v>
      </c>
      <c r="I59" s="4">
        <v>3754.013203957294</v>
      </c>
      <c r="J59">
        <v>239</v>
      </c>
      <c r="K59" t="s">
        <v>36</v>
      </c>
      <c r="L59" s="6">
        <v>45372</v>
      </c>
      <c r="M59" t="s">
        <v>51</v>
      </c>
      <c r="N59" t="s">
        <v>1748</v>
      </c>
      <c r="O59" t="s">
        <v>114</v>
      </c>
      <c r="P59">
        <v>18</v>
      </c>
      <c r="Q59" t="s">
        <v>48</v>
      </c>
    </row>
    <row r="60" spans="1:17">
      <c r="A60">
        <v>20</v>
      </c>
      <c r="B60" t="s">
        <v>138</v>
      </c>
      <c r="C60" t="s">
        <v>144</v>
      </c>
      <c r="D60" t="s">
        <v>30</v>
      </c>
      <c r="E60" s="6">
        <v>45363</v>
      </c>
      <c r="F60" t="s">
        <v>205</v>
      </c>
      <c r="G60" t="s">
        <v>1011</v>
      </c>
      <c r="H60" t="s">
        <v>42</v>
      </c>
      <c r="I60" s="4">
        <v>14779.83773039246</v>
      </c>
      <c r="J60">
        <v>310</v>
      </c>
      <c r="K60" t="s">
        <v>35</v>
      </c>
      <c r="L60" s="6">
        <v>45377</v>
      </c>
      <c r="M60" t="s">
        <v>53</v>
      </c>
      <c r="N60" t="s">
        <v>1748</v>
      </c>
      <c r="O60" t="s">
        <v>114</v>
      </c>
      <c r="P60">
        <v>14</v>
      </c>
      <c r="Q60" t="s">
        <v>45</v>
      </c>
    </row>
    <row r="61" spans="1:17">
      <c r="A61">
        <v>40</v>
      </c>
      <c r="B61" t="s">
        <v>138</v>
      </c>
      <c r="C61" t="s">
        <v>143</v>
      </c>
      <c r="D61" t="s">
        <v>29</v>
      </c>
      <c r="E61" s="6">
        <v>45366</v>
      </c>
      <c r="F61" t="s">
        <v>206</v>
      </c>
      <c r="G61" t="s">
        <v>1012</v>
      </c>
      <c r="H61" t="s">
        <v>38</v>
      </c>
      <c r="I61" s="4">
        <v>8031.512296662963</v>
      </c>
      <c r="J61">
        <v>362</v>
      </c>
      <c r="K61" t="s">
        <v>36</v>
      </c>
      <c r="L61" s="6">
        <v>45375</v>
      </c>
      <c r="M61" t="s">
        <v>52</v>
      </c>
      <c r="N61" t="s">
        <v>1746</v>
      </c>
      <c r="O61" t="s">
        <v>114</v>
      </c>
      <c r="P61">
        <v>9</v>
      </c>
      <c r="Q61" t="s">
        <v>46</v>
      </c>
    </row>
    <row r="62" spans="1:17">
      <c r="A62">
        <v>84</v>
      </c>
      <c r="B62" t="s">
        <v>138</v>
      </c>
      <c r="C62" t="s">
        <v>143</v>
      </c>
      <c r="D62" t="s">
        <v>32</v>
      </c>
      <c r="E62" s="6">
        <v>45360</v>
      </c>
      <c r="F62" t="s">
        <v>207</v>
      </c>
      <c r="G62" t="s">
        <v>1013</v>
      </c>
      <c r="H62" t="s">
        <v>39</v>
      </c>
      <c r="I62" s="4">
        <v>44447.64354333157</v>
      </c>
      <c r="J62">
        <v>405</v>
      </c>
      <c r="K62" t="s">
        <v>35</v>
      </c>
      <c r="L62" s="6">
        <v>45376</v>
      </c>
      <c r="M62" t="s">
        <v>50</v>
      </c>
      <c r="N62" t="s">
        <v>1746</v>
      </c>
      <c r="O62" t="s">
        <v>114</v>
      </c>
      <c r="P62">
        <v>16</v>
      </c>
      <c r="Q62" t="s">
        <v>48</v>
      </c>
    </row>
    <row r="63" spans="1:17">
      <c r="A63">
        <v>21</v>
      </c>
      <c r="B63" t="s">
        <v>138</v>
      </c>
      <c r="C63" t="s">
        <v>144</v>
      </c>
      <c r="D63" t="s">
        <v>28</v>
      </c>
      <c r="E63" s="6">
        <v>45365</v>
      </c>
      <c r="F63" t="s">
        <v>208</v>
      </c>
      <c r="G63" t="s">
        <v>1014</v>
      </c>
      <c r="H63" t="s">
        <v>41</v>
      </c>
      <c r="I63" s="4">
        <v>8690.270052290243</v>
      </c>
      <c r="J63">
        <v>232</v>
      </c>
      <c r="K63" t="s">
        <v>34</v>
      </c>
      <c r="L63" s="6">
        <v>45393</v>
      </c>
      <c r="M63" t="s">
        <v>51</v>
      </c>
      <c r="N63" t="s">
        <v>1746</v>
      </c>
      <c r="O63" t="s">
        <v>114</v>
      </c>
      <c r="P63">
        <v>28</v>
      </c>
      <c r="Q63" t="s">
        <v>45</v>
      </c>
    </row>
    <row r="64" spans="1:17">
      <c r="A64">
        <v>50</v>
      </c>
      <c r="B64" t="s">
        <v>137</v>
      </c>
      <c r="C64" t="s">
        <v>145</v>
      </c>
      <c r="D64" t="s">
        <v>27</v>
      </c>
      <c r="E64" s="6">
        <v>45353</v>
      </c>
      <c r="F64" t="s">
        <v>209</v>
      </c>
      <c r="G64" t="s">
        <v>1015</v>
      </c>
      <c r="H64" t="s">
        <v>41</v>
      </c>
      <c r="I64" s="4">
        <v>9434.760831098392</v>
      </c>
      <c r="J64">
        <v>372</v>
      </c>
      <c r="K64" t="s">
        <v>36</v>
      </c>
      <c r="L64" s="6">
        <v>45370</v>
      </c>
      <c r="M64" t="s">
        <v>50</v>
      </c>
      <c r="N64" t="s">
        <v>1746</v>
      </c>
      <c r="O64" t="s">
        <v>114</v>
      </c>
      <c r="P64">
        <v>17</v>
      </c>
      <c r="Q64" t="s">
        <v>46</v>
      </c>
    </row>
    <row r="65" spans="1:17">
      <c r="A65">
        <v>40</v>
      </c>
      <c r="B65" t="s">
        <v>138</v>
      </c>
      <c r="C65" t="s">
        <v>146</v>
      </c>
      <c r="D65" t="s">
        <v>29</v>
      </c>
      <c r="E65" s="6">
        <v>45363</v>
      </c>
      <c r="F65" t="s">
        <v>210</v>
      </c>
      <c r="G65" t="s">
        <v>1016</v>
      </c>
      <c r="H65" t="s">
        <v>41</v>
      </c>
      <c r="I65" s="4">
        <v>4814.924418782771</v>
      </c>
      <c r="J65">
        <v>435</v>
      </c>
      <c r="K65" t="s">
        <v>34</v>
      </c>
      <c r="L65" s="6">
        <v>45390</v>
      </c>
      <c r="M65" t="s">
        <v>52</v>
      </c>
      <c r="N65" t="s">
        <v>1746</v>
      </c>
      <c r="O65" t="s">
        <v>114</v>
      </c>
      <c r="P65">
        <v>27</v>
      </c>
      <c r="Q65" t="s">
        <v>46</v>
      </c>
    </row>
    <row r="66" spans="1:17">
      <c r="A66">
        <v>65</v>
      </c>
      <c r="B66" t="s">
        <v>137</v>
      </c>
      <c r="C66" t="s">
        <v>146</v>
      </c>
      <c r="D66" t="s">
        <v>27</v>
      </c>
      <c r="E66" s="6">
        <v>45366</v>
      </c>
      <c r="F66" t="s">
        <v>211</v>
      </c>
      <c r="G66" t="s">
        <v>1017</v>
      </c>
      <c r="H66" t="s">
        <v>42</v>
      </c>
      <c r="I66" s="4">
        <v>40356.94712935215</v>
      </c>
      <c r="J66">
        <v>115</v>
      </c>
      <c r="K66" t="s">
        <v>34</v>
      </c>
      <c r="L66" s="6">
        <v>45372</v>
      </c>
      <c r="M66" t="s">
        <v>54</v>
      </c>
      <c r="N66" t="s">
        <v>1747</v>
      </c>
      <c r="O66" t="s">
        <v>114</v>
      </c>
      <c r="P66">
        <v>6</v>
      </c>
      <c r="Q66" t="s">
        <v>47</v>
      </c>
    </row>
    <row r="67" spans="1:17">
      <c r="A67">
        <v>24</v>
      </c>
      <c r="B67" t="s">
        <v>137</v>
      </c>
      <c r="C67" t="s">
        <v>141</v>
      </c>
      <c r="D67" t="s">
        <v>31</v>
      </c>
      <c r="E67" s="6">
        <v>45378</v>
      </c>
      <c r="F67" t="s">
        <v>212</v>
      </c>
      <c r="G67" t="s">
        <v>1018</v>
      </c>
      <c r="H67" t="s">
        <v>40</v>
      </c>
      <c r="I67" s="4">
        <v>25341.34904937083</v>
      </c>
      <c r="J67">
        <v>246</v>
      </c>
      <c r="K67" t="s">
        <v>35</v>
      </c>
      <c r="L67" s="6">
        <v>45408</v>
      </c>
      <c r="M67" t="s">
        <v>51</v>
      </c>
      <c r="N67" t="s">
        <v>1747</v>
      </c>
      <c r="O67" t="s">
        <v>114</v>
      </c>
      <c r="P67">
        <v>30</v>
      </c>
      <c r="Q67" t="s">
        <v>45</v>
      </c>
    </row>
    <row r="68" spans="1:17">
      <c r="A68">
        <v>81</v>
      </c>
      <c r="B68" t="s">
        <v>138</v>
      </c>
      <c r="C68" t="s">
        <v>146</v>
      </c>
      <c r="D68" t="s">
        <v>31</v>
      </c>
      <c r="E68" s="6">
        <v>45380</v>
      </c>
      <c r="F68" t="s">
        <v>213</v>
      </c>
      <c r="G68" t="s">
        <v>1019</v>
      </c>
      <c r="H68" t="s">
        <v>38</v>
      </c>
      <c r="I68" s="4">
        <v>13351.42528416312</v>
      </c>
      <c r="J68">
        <v>448</v>
      </c>
      <c r="K68" t="s">
        <v>34</v>
      </c>
      <c r="L68" s="6">
        <v>45394</v>
      </c>
      <c r="M68" t="s">
        <v>50</v>
      </c>
      <c r="N68" t="s">
        <v>1746</v>
      </c>
      <c r="O68" t="s">
        <v>114</v>
      </c>
      <c r="P68">
        <v>14</v>
      </c>
      <c r="Q68" t="s">
        <v>48</v>
      </c>
    </row>
    <row r="69" spans="1:17">
      <c r="A69">
        <v>79</v>
      </c>
      <c r="B69" t="s">
        <v>137</v>
      </c>
      <c r="C69" t="s">
        <v>146</v>
      </c>
      <c r="D69" t="s">
        <v>29</v>
      </c>
      <c r="E69" s="6">
        <v>45360</v>
      </c>
      <c r="F69" t="s">
        <v>214</v>
      </c>
      <c r="G69" t="s">
        <v>1020</v>
      </c>
      <c r="H69" t="s">
        <v>41</v>
      </c>
      <c r="I69" s="4">
        <v>18704.22532422045</v>
      </c>
      <c r="J69">
        <v>236</v>
      </c>
      <c r="K69" t="s">
        <v>34</v>
      </c>
      <c r="L69" s="6">
        <v>45361</v>
      </c>
      <c r="M69" t="s">
        <v>53</v>
      </c>
      <c r="N69" t="s">
        <v>1747</v>
      </c>
      <c r="O69" t="s">
        <v>114</v>
      </c>
      <c r="P69">
        <v>1</v>
      </c>
      <c r="Q69" t="s">
        <v>48</v>
      </c>
    </row>
    <row r="70" spans="1:17">
      <c r="A70">
        <v>32</v>
      </c>
      <c r="B70" t="s">
        <v>137</v>
      </c>
      <c r="C70" t="s">
        <v>142</v>
      </c>
      <c r="D70" t="s">
        <v>30</v>
      </c>
      <c r="E70" s="6">
        <v>45365</v>
      </c>
      <c r="F70" t="s">
        <v>215</v>
      </c>
      <c r="G70" t="s">
        <v>1021</v>
      </c>
      <c r="H70" t="s">
        <v>40</v>
      </c>
      <c r="I70" s="4">
        <v>33603.06955739501</v>
      </c>
      <c r="J70">
        <v>134</v>
      </c>
      <c r="K70" t="s">
        <v>35</v>
      </c>
      <c r="L70" s="6">
        <v>45375</v>
      </c>
      <c r="M70" t="s">
        <v>54</v>
      </c>
      <c r="N70" t="s">
        <v>1747</v>
      </c>
      <c r="O70" t="s">
        <v>114</v>
      </c>
      <c r="P70">
        <v>10</v>
      </c>
      <c r="Q70" t="s">
        <v>45</v>
      </c>
    </row>
    <row r="71" spans="1:17">
      <c r="A71">
        <v>57</v>
      </c>
      <c r="B71" t="s">
        <v>137</v>
      </c>
      <c r="C71" t="s">
        <v>140</v>
      </c>
      <c r="D71" t="s">
        <v>29</v>
      </c>
      <c r="E71" s="6">
        <v>45352</v>
      </c>
      <c r="F71" t="s">
        <v>216</v>
      </c>
      <c r="G71" t="s">
        <v>1022</v>
      </c>
      <c r="H71" t="s">
        <v>41</v>
      </c>
      <c r="I71" s="4">
        <v>31813.98370444615</v>
      </c>
      <c r="J71">
        <v>239</v>
      </c>
      <c r="K71" t="s">
        <v>36</v>
      </c>
      <c r="L71" s="6">
        <v>45370</v>
      </c>
      <c r="M71" t="s">
        <v>54</v>
      </c>
      <c r="N71" t="s">
        <v>1748</v>
      </c>
      <c r="O71" t="s">
        <v>114</v>
      </c>
      <c r="P71">
        <v>18</v>
      </c>
      <c r="Q71" t="s">
        <v>47</v>
      </c>
    </row>
    <row r="72" spans="1:17">
      <c r="A72">
        <v>53</v>
      </c>
      <c r="B72" t="s">
        <v>137</v>
      </c>
      <c r="C72" t="s">
        <v>144</v>
      </c>
      <c r="D72" t="s">
        <v>29</v>
      </c>
      <c r="E72" s="6">
        <v>45354</v>
      </c>
      <c r="F72" t="s">
        <v>217</v>
      </c>
      <c r="G72" t="s">
        <v>1023</v>
      </c>
      <c r="H72" t="s">
        <v>38</v>
      </c>
      <c r="I72" s="4">
        <v>29585.98511242642</v>
      </c>
      <c r="J72">
        <v>389</v>
      </c>
      <c r="K72" t="s">
        <v>36</v>
      </c>
      <c r="L72" s="6">
        <v>45365</v>
      </c>
      <c r="M72" t="s">
        <v>50</v>
      </c>
      <c r="N72" t="s">
        <v>1747</v>
      </c>
      <c r="O72" t="s">
        <v>114</v>
      </c>
      <c r="P72">
        <v>11</v>
      </c>
      <c r="Q72" t="s">
        <v>47</v>
      </c>
    </row>
    <row r="73" spans="1:17">
      <c r="A73">
        <v>82</v>
      </c>
      <c r="B73" t="s">
        <v>137</v>
      </c>
      <c r="C73" t="s">
        <v>140</v>
      </c>
      <c r="D73" t="s">
        <v>27</v>
      </c>
      <c r="E73" s="6">
        <v>45357</v>
      </c>
      <c r="F73" t="s">
        <v>218</v>
      </c>
      <c r="G73" t="s">
        <v>1024</v>
      </c>
      <c r="H73" t="s">
        <v>39</v>
      </c>
      <c r="I73" s="4">
        <v>39689.82964922871</v>
      </c>
      <c r="J73">
        <v>362</v>
      </c>
      <c r="K73" t="s">
        <v>35</v>
      </c>
      <c r="L73" s="6">
        <v>45387</v>
      </c>
      <c r="M73" t="s">
        <v>53</v>
      </c>
      <c r="N73" t="s">
        <v>1747</v>
      </c>
      <c r="O73" t="s">
        <v>114</v>
      </c>
      <c r="P73">
        <v>30</v>
      </c>
      <c r="Q73" t="s">
        <v>48</v>
      </c>
    </row>
    <row r="74" spans="1:17">
      <c r="A74">
        <v>78</v>
      </c>
      <c r="B74" t="s">
        <v>137</v>
      </c>
      <c r="C74" t="s">
        <v>144</v>
      </c>
      <c r="D74" t="s">
        <v>27</v>
      </c>
      <c r="E74" s="6">
        <v>45376</v>
      </c>
      <c r="F74" t="s">
        <v>219</v>
      </c>
      <c r="G74" t="s">
        <v>1025</v>
      </c>
      <c r="H74" t="s">
        <v>40</v>
      </c>
      <c r="I74" s="4">
        <v>21888.47208151748</v>
      </c>
      <c r="J74">
        <v>455</v>
      </c>
      <c r="K74" t="s">
        <v>35</v>
      </c>
      <c r="L74" s="6">
        <v>45401</v>
      </c>
      <c r="M74" t="s">
        <v>50</v>
      </c>
      <c r="N74" t="s">
        <v>1747</v>
      </c>
      <c r="O74" t="s">
        <v>114</v>
      </c>
      <c r="P74">
        <v>25</v>
      </c>
      <c r="Q74" t="s">
        <v>48</v>
      </c>
    </row>
    <row r="75" spans="1:17">
      <c r="A75">
        <v>41</v>
      </c>
      <c r="B75" t="s">
        <v>137</v>
      </c>
      <c r="C75" t="s">
        <v>145</v>
      </c>
      <c r="D75" t="s">
        <v>31</v>
      </c>
      <c r="E75" s="6">
        <v>45361</v>
      </c>
      <c r="F75" t="s">
        <v>220</v>
      </c>
      <c r="G75" t="s">
        <v>1026</v>
      </c>
      <c r="H75" t="s">
        <v>39</v>
      </c>
      <c r="I75" s="4">
        <v>8207.188332100151</v>
      </c>
      <c r="J75">
        <v>323</v>
      </c>
      <c r="K75" t="s">
        <v>35</v>
      </c>
      <c r="L75" s="6">
        <v>45362</v>
      </c>
      <c r="M75" t="s">
        <v>50</v>
      </c>
      <c r="N75" t="s">
        <v>1748</v>
      </c>
      <c r="O75" t="s">
        <v>114</v>
      </c>
      <c r="P75">
        <v>1</v>
      </c>
      <c r="Q75" t="s">
        <v>46</v>
      </c>
    </row>
    <row r="76" spans="1:17">
      <c r="A76">
        <v>69</v>
      </c>
      <c r="B76" t="s">
        <v>137</v>
      </c>
      <c r="C76" t="s">
        <v>145</v>
      </c>
      <c r="D76" t="s">
        <v>29</v>
      </c>
      <c r="E76" s="6">
        <v>45359</v>
      </c>
      <c r="F76" t="s">
        <v>221</v>
      </c>
      <c r="G76" t="s">
        <v>1027</v>
      </c>
      <c r="H76" t="s">
        <v>38</v>
      </c>
      <c r="I76" s="4">
        <v>35617.81049067285</v>
      </c>
      <c r="J76">
        <v>346</v>
      </c>
      <c r="K76" t="s">
        <v>35</v>
      </c>
      <c r="L76" s="6">
        <v>45387</v>
      </c>
      <c r="M76" t="s">
        <v>51</v>
      </c>
      <c r="N76" t="s">
        <v>1746</v>
      </c>
      <c r="O76" t="s">
        <v>114</v>
      </c>
      <c r="P76">
        <v>28</v>
      </c>
      <c r="Q76" t="s">
        <v>48</v>
      </c>
    </row>
    <row r="77" spans="1:17">
      <c r="A77">
        <v>36</v>
      </c>
      <c r="B77" t="s">
        <v>138</v>
      </c>
      <c r="C77" t="s">
        <v>146</v>
      </c>
      <c r="D77" t="s">
        <v>31</v>
      </c>
      <c r="E77" s="6">
        <v>45377</v>
      </c>
      <c r="F77" t="s">
        <v>222</v>
      </c>
      <c r="G77" t="s">
        <v>1028</v>
      </c>
      <c r="H77" t="s">
        <v>40</v>
      </c>
      <c r="I77" s="4">
        <v>49611.45591884031</v>
      </c>
      <c r="J77">
        <v>187</v>
      </c>
      <c r="K77" t="s">
        <v>36</v>
      </c>
      <c r="L77" s="6">
        <v>45400</v>
      </c>
      <c r="M77" t="s">
        <v>50</v>
      </c>
      <c r="N77" t="s">
        <v>1746</v>
      </c>
      <c r="O77" t="s">
        <v>114</v>
      </c>
      <c r="P77">
        <v>23</v>
      </c>
      <c r="Q77" t="s">
        <v>46</v>
      </c>
    </row>
    <row r="78" spans="1:17">
      <c r="A78">
        <v>69</v>
      </c>
      <c r="B78" t="s">
        <v>138</v>
      </c>
      <c r="C78" t="s">
        <v>145</v>
      </c>
      <c r="D78" t="s">
        <v>31</v>
      </c>
      <c r="E78" s="6">
        <v>45377</v>
      </c>
      <c r="F78" t="s">
        <v>223</v>
      </c>
      <c r="G78" t="s">
        <v>1029</v>
      </c>
      <c r="H78" t="s">
        <v>39</v>
      </c>
      <c r="I78" s="4">
        <v>5957.18911753006</v>
      </c>
      <c r="J78">
        <v>285</v>
      </c>
      <c r="K78" t="s">
        <v>35</v>
      </c>
      <c r="L78" s="6">
        <v>45385</v>
      </c>
      <c r="M78" t="s">
        <v>52</v>
      </c>
      <c r="N78" t="s">
        <v>1748</v>
      </c>
      <c r="O78" t="s">
        <v>114</v>
      </c>
      <c r="P78">
        <v>8</v>
      </c>
      <c r="Q78" t="s">
        <v>48</v>
      </c>
    </row>
    <row r="79" spans="1:17">
      <c r="A79">
        <v>20</v>
      </c>
      <c r="B79" t="s">
        <v>138</v>
      </c>
      <c r="C79" t="s">
        <v>144</v>
      </c>
      <c r="D79" t="s">
        <v>30</v>
      </c>
      <c r="E79" s="6">
        <v>45366</v>
      </c>
      <c r="F79" t="s">
        <v>224</v>
      </c>
      <c r="G79" t="s">
        <v>1030</v>
      </c>
      <c r="H79" t="s">
        <v>39</v>
      </c>
      <c r="I79" s="4">
        <v>5623.413068913845</v>
      </c>
      <c r="J79">
        <v>382</v>
      </c>
      <c r="K79" t="s">
        <v>34</v>
      </c>
      <c r="L79" s="6">
        <v>45381</v>
      </c>
      <c r="M79" t="s">
        <v>51</v>
      </c>
      <c r="N79" t="s">
        <v>1748</v>
      </c>
      <c r="O79" t="s">
        <v>114</v>
      </c>
      <c r="P79">
        <v>15</v>
      </c>
      <c r="Q79" t="s">
        <v>45</v>
      </c>
    </row>
    <row r="80" spans="1:17">
      <c r="A80">
        <v>85</v>
      </c>
      <c r="B80" t="s">
        <v>138</v>
      </c>
      <c r="C80" t="s">
        <v>141</v>
      </c>
      <c r="D80" t="s">
        <v>31</v>
      </c>
      <c r="E80" s="6">
        <v>45367</v>
      </c>
      <c r="F80" t="s">
        <v>225</v>
      </c>
      <c r="G80" t="s">
        <v>1031</v>
      </c>
      <c r="H80" t="s">
        <v>41</v>
      </c>
      <c r="I80" s="4">
        <v>18450.12071641431</v>
      </c>
      <c r="J80">
        <v>291</v>
      </c>
      <c r="K80" t="s">
        <v>35</v>
      </c>
      <c r="L80" s="6">
        <v>45385</v>
      </c>
      <c r="M80" t="s">
        <v>54</v>
      </c>
      <c r="N80" t="s">
        <v>1748</v>
      </c>
      <c r="O80" t="s">
        <v>114</v>
      </c>
      <c r="P80">
        <v>18</v>
      </c>
      <c r="Q80" t="s">
        <v>48</v>
      </c>
    </row>
    <row r="81" spans="1:17">
      <c r="A81">
        <v>47</v>
      </c>
      <c r="B81" t="s">
        <v>138</v>
      </c>
      <c r="C81" t="s">
        <v>143</v>
      </c>
      <c r="D81" t="s">
        <v>32</v>
      </c>
      <c r="E81" s="6">
        <v>45353</v>
      </c>
      <c r="F81" t="s">
        <v>226</v>
      </c>
      <c r="G81" t="s">
        <v>1032</v>
      </c>
      <c r="H81" t="s">
        <v>39</v>
      </c>
      <c r="I81" s="4">
        <v>17380.22789759103</v>
      </c>
      <c r="J81">
        <v>146</v>
      </c>
      <c r="K81" t="s">
        <v>34</v>
      </c>
      <c r="L81" s="6">
        <v>45378</v>
      </c>
      <c r="M81" t="s">
        <v>51</v>
      </c>
      <c r="N81" t="s">
        <v>1747</v>
      </c>
      <c r="O81" t="s">
        <v>114</v>
      </c>
      <c r="P81">
        <v>25</v>
      </c>
      <c r="Q81" t="s">
        <v>46</v>
      </c>
    </row>
    <row r="82" spans="1:17">
      <c r="A82">
        <v>57</v>
      </c>
      <c r="B82" t="s">
        <v>137</v>
      </c>
      <c r="C82" t="s">
        <v>146</v>
      </c>
      <c r="D82" t="s">
        <v>31</v>
      </c>
      <c r="E82" s="6">
        <v>45376</v>
      </c>
      <c r="F82" t="s">
        <v>227</v>
      </c>
      <c r="G82" t="s">
        <v>1033</v>
      </c>
      <c r="H82" t="s">
        <v>39</v>
      </c>
      <c r="I82" s="4">
        <v>45174.27227009051</v>
      </c>
      <c r="J82">
        <v>310</v>
      </c>
      <c r="K82" t="s">
        <v>34</v>
      </c>
      <c r="L82" s="6">
        <v>45390</v>
      </c>
      <c r="M82" t="s">
        <v>52</v>
      </c>
      <c r="N82" t="s">
        <v>1746</v>
      </c>
      <c r="O82" t="s">
        <v>114</v>
      </c>
      <c r="P82">
        <v>14</v>
      </c>
      <c r="Q82" t="s">
        <v>47</v>
      </c>
    </row>
    <row r="83" spans="1:17">
      <c r="A83">
        <v>48</v>
      </c>
      <c r="B83" t="s">
        <v>137</v>
      </c>
      <c r="C83" t="s">
        <v>144</v>
      </c>
      <c r="D83" t="s">
        <v>27</v>
      </c>
      <c r="E83" s="6">
        <v>45375</v>
      </c>
      <c r="F83" t="s">
        <v>228</v>
      </c>
      <c r="G83" t="s">
        <v>1034</v>
      </c>
      <c r="H83" t="s">
        <v>39</v>
      </c>
      <c r="I83" s="4">
        <v>10231.16028651852</v>
      </c>
      <c r="J83">
        <v>376</v>
      </c>
      <c r="K83" t="s">
        <v>34</v>
      </c>
      <c r="L83" s="6">
        <v>45383</v>
      </c>
      <c r="M83" t="s">
        <v>53</v>
      </c>
      <c r="N83" t="s">
        <v>1748</v>
      </c>
      <c r="O83" t="s">
        <v>114</v>
      </c>
      <c r="P83">
        <v>8</v>
      </c>
      <c r="Q83" t="s">
        <v>46</v>
      </c>
    </row>
    <row r="84" spans="1:17">
      <c r="A84">
        <v>70</v>
      </c>
      <c r="B84" t="s">
        <v>138</v>
      </c>
      <c r="C84" t="s">
        <v>140</v>
      </c>
      <c r="D84" t="s">
        <v>28</v>
      </c>
      <c r="E84" s="6">
        <v>45371</v>
      </c>
      <c r="F84" t="s">
        <v>229</v>
      </c>
      <c r="G84" t="s">
        <v>1035</v>
      </c>
      <c r="H84" t="s">
        <v>41</v>
      </c>
      <c r="I84" s="4">
        <v>3389.445508853494</v>
      </c>
      <c r="J84">
        <v>413</v>
      </c>
      <c r="K84" t="s">
        <v>34</v>
      </c>
      <c r="L84" s="6">
        <v>45384</v>
      </c>
      <c r="M84" t="s">
        <v>51</v>
      </c>
      <c r="N84" t="s">
        <v>1747</v>
      </c>
      <c r="O84" t="s">
        <v>114</v>
      </c>
      <c r="P84">
        <v>13</v>
      </c>
      <c r="Q84" t="s">
        <v>48</v>
      </c>
    </row>
    <row r="85" spans="1:17">
      <c r="A85">
        <v>79</v>
      </c>
      <c r="B85" t="s">
        <v>137</v>
      </c>
      <c r="C85" t="s">
        <v>142</v>
      </c>
      <c r="D85" t="s">
        <v>32</v>
      </c>
      <c r="E85" s="6">
        <v>45371</v>
      </c>
      <c r="F85" t="s">
        <v>230</v>
      </c>
      <c r="G85" t="s">
        <v>1036</v>
      </c>
      <c r="H85" t="s">
        <v>42</v>
      </c>
      <c r="I85" s="4">
        <v>29961.45787847616</v>
      </c>
      <c r="J85">
        <v>499</v>
      </c>
      <c r="K85" t="s">
        <v>34</v>
      </c>
      <c r="L85" s="6">
        <v>45395</v>
      </c>
      <c r="M85" t="s">
        <v>53</v>
      </c>
      <c r="N85" t="s">
        <v>1747</v>
      </c>
      <c r="O85" t="s">
        <v>114</v>
      </c>
      <c r="P85">
        <v>24</v>
      </c>
      <c r="Q85" t="s">
        <v>48</v>
      </c>
    </row>
    <row r="86" spans="1:17">
      <c r="A86">
        <v>49</v>
      </c>
      <c r="B86" t="s">
        <v>137</v>
      </c>
      <c r="C86" t="s">
        <v>141</v>
      </c>
      <c r="D86" t="s">
        <v>31</v>
      </c>
      <c r="E86" s="6">
        <v>45357</v>
      </c>
      <c r="F86" t="s">
        <v>231</v>
      </c>
      <c r="G86" t="s">
        <v>1037</v>
      </c>
      <c r="H86" t="s">
        <v>39</v>
      </c>
      <c r="I86" s="4">
        <v>15081.00550588808</v>
      </c>
      <c r="J86">
        <v>124</v>
      </c>
      <c r="K86" t="s">
        <v>34</v>
      </c>
      <c r="L86" s="6">
        <v>45370</v>
      </c>
      <c r="M86" t="s">
        <v>52</v>
      </c>
      <c r="N86" t="s">
        <v>1747</v>
      </c>
      <c r="O86" t="s">
        <v>114</v>
      </c>
      <c r="P86">
        <v>13</v>
      </c>
      <c r="Q86" t="s">
        <v>46</v>
      </c>
    </row>
    <row r="87" spans="1:17">
      <c r="A87">
        <v>74</v>
      </c>
      <c r="B87" t="s">
        <v>138</v>
      </c>
      <c r="C87" t="s">
        <v>143</v>
      </c>
      <c r="D87" t="s">
        <v>31</v>
      </c>
      <c r="E87" s="6">
        <v>45356</v>
      </c>
      <c r="F87" t="s">
        <v>232</v>
      </c>
      <c r="G87" t="s">
        <v>1038</v>
      </c>
      <c r="H87" t="s">
        <v>40</v>
      </c>
      <c r="I87" s="4">
        <v>5608.601432216855</v>
      </c>
      <c r="J87">
        <v>234</v>
      </c>
      <c r="K87" t="s">
        <v>35</v>
      </c>
      <c r="L87" s="6">
        <v>45375</v>
      </c>
      <c r="M87" t="s">
        <v>52</v>
      </c>
      <c r="N87" t="s">
        <v>1748</v>
      </c>
      <c r="O87" t="s">
        <v>114</v>
      </c>
      <c r="P87">
        <v>19</v>
      </c>
      <c r="Q87" t="s">
        <v>48</v>
      </c>
    </row>
    <row r="88" spans="1:17">
      <c r="A88">
        <v>72</v>
      </c>
      <c r="B88" t="s">
        <v>138</v>
      </c>
      <c r="C88" t="s">
        <v>141</v>
      </c>
      <c r="D88" t="s">
        <v>29</v>
      </c>
      <c r="E88" s="6">
        <v>45352</v>
      </c>
      <c r="F88" t="s">
        <v>233</v>
      </c>
      <c r="G88" t="s">
        <v>1039</v>
      </c>
      <c r="H88" t="s">
        <v>42</v>
      </c>
      <c r="I88" s="4">
        <v>20156.22842262048</v>
      </c>
      <c r="J88">
        <v>359</v>
      </c>
      <c r="K88" t="s">
        <v>36</v>
      </c>
      <c r="L88" s="6">
        <v>45355</v>
      </c>
      <c r="M88" t="s">
        <v>52</v>
      </c>
      <c r="N88" t="s">
        <v>1747</v>
      </c>
      <c r="O88" t="s">
        <v>114</v>
      </c>
      <c r="P88">
        <v>3</v>
      </c>
      <c r="Q88" t="s">
        <v>48</v>
      </c>
    </row>
    <row r="89" spans="1:17">
      <c r="A89">
        <v>76</v>
      </c>
      <c r="B89" t="s">
        <v>137</v>
      </c>
      <c r="C89" t="s">
        <v>141</v>
      </c>
      <c r="D89" t="s">
        <v>30</v>
      </c>
      <c r="E89" s="6">
        <v>45372</v>
      </c>
      <c r="F89" t="s">
        <v>234</v>
      </c>
      <c r="G89" t="s">
        <v>1040</v>
      </c>
      <c r="H89" t="s">
        <v>42</v>
      </c>
      <c r="I89" s="4">
        <v>34699.9074316292</v>
      </c>
      <c r="J89">
        <v>491</v>
      </c>
      <c r="K89" t="s">
        <v>34</v>
      </c>
      <c r="L89" s="6">
        <v>45397</v>
      </c>
      <c r="M89" t="s">
        <v>54</v>
      </c>
      <c r="N89" t="s">
        <v>1748</v>
      </c>
      <c r="O89" t="s">
        <v>114</v>
      </c>
      <c r="P89">
        <v>25</v>
      </c>
      <c r="Q89" t="s">
        <v>48</v>
      </c>
    </row>
    <row r="90" spans="1:17">
      <c r="A90">
        <v>33</v>
      </c>
      <c r="B90" t="s">
        <v>138</v>
      </c>
      <c r="C90" t="s">
        <v>142</v>
      </c>
      <c r="D90" t="s">
        <v>28</v>
      </c>
      <c r="E90" s="6">
        <v>45381</v>
      </c>
      <c r="F90" t="s">
        <v>235</v>
      </c>
      <c r="G90" t="s">
        <v>1041</v>
      </c>
      <c r="H90" t="s">
        <v>40</v>
      </c>
      <c r="I90" s="4">
        <v>30137.76250121244</v>
      </c>
      <c r="J90">
        <v>393</v>
      </c>
      <c r="K90" t="s">
        <v>34</v>
      </c>
      <c r="L90" s="6">
        <v>45384</v>
      </c>
      <c r="M90" t="s">
        <v>52</v>
      </c>
      <c r="N90" t="s">
        <v>1748</v>
      </c>
      <c r="O90" t="s">
        <v>114</v>
      </c>
      <c r="P90">
        <v>3</v>
      </c>
      <c r="Q90" t="s">
        <v>45</v>
      </c>
    </row>
    <row r="91" spans="1:17">
      <c r="A91">
        <v>57</v>
      </c>
      <c r="B91" t="s">
        <v>138</v>
      </c>
      <c r="C91" t="s">
        <v>140</v>
      </c>
      <c r="D91" t="s">
        <v>28</v>
      </c>
      <c r="E91" s="6">
        <v>45367</v>
      </c>
      <c r="F91" t="s">
        <v>236</v>
      </c>
      <c r="G91" t="s">
        <v>1042</v>
      </c>
      <c r="H91" t="s">
        <v>38</v>
      </c>
      <c r="I91" s="4">
        <v>29793.30703446396</v>
      </c>
      <c r="J91">
        <v>248</v>
      </c>
      <c r="K91" t="s">
        <v>34</v>
      </c>
      <c r="L91" s="6">
        <v>45394</v>
      </c>
      <c r="M91" t="s">
        <v>50</v>
      </c>
      <c r="N91" t="s">
        <v>1746</v>
      </c>
      <c r="O91" t="s">
        <v>114</v>
      </c>
      <c r="P91">
        <v>27</v>
      </c>
      <c r="Q91" t="s">
        <v>47</v>
      </c>
    </row>
    <row r="92" spans="1:17">
      <c r="A92">
        <v>85</v>
      </c>
      <c r="B92" t="s">
        <v>137</v>
      </c>
      <c r="C92" t="s">
        <v>142</v>
      </c>
      <c r="D92" t="s">
        <v>32</v>
      </c>
      <c r="E92" s="6">
        <v>45358</v>
      </c>
      <c r="F92" t="s">
        <v>237</v>
      </c>
      <c r="G92" t="s">
        <v>1043</v>
      </c>
      <c r="H92" t="s">
        <v>41</v>
      </c>
      <c r="I92" s="4">
        <v>16075.00682254222</v>
      </c>
      <c r="J92">
        <v>181</v>
      </c>
      <c r="K92" t="s">
        <v>36</v>
      </c>
      <c r="L92" s="6">
        <v>45384</v>
      </c>
      <c r="M92" t="s">
        <v>53</v>
      </c>
      <c r="N92" t="s">
        <v>1746</v>
      </c>
      <c r="O92" t="s">
        <v>114</v>
      </c>
      <c r="P92">
        <v>26</v>
      </c>
      <c r="Q92" t="s">
        <v>48</v>
      </c>
    </row>
    <row r="93" spans="1:17">
      <c r="A93">
        <v>25</v>
      </c>
      <c r="B93" t="s">
        <v>137</v>
      </c>
      <c r="C93" t="s">
        <v>144</v>
      </c>
      <c r="D93" t="s">
        <v>31</v>
      </c>
      <c r="E93" s="6">
        <v>45363</v>
      </c>
      <c r="F93" t="s">
        <v>238</v>
      </c>
      <c r="G93" t="s">
        <v>1044</v>
      </c>
      <c r="H93" t="s">
        <v>40</v>
      </c>
      <c r="I93" s="4">
        <v>32530.96562464409</v>
      </c>
      <c r="J93">
        <v>247</v>
      </c>
      <c r="K93" t="s">
        <v>34</v>
      </c>
      <c r="L93" s="6">
        <v>45364</v>
      </c>
      <c r="M93" t="s">
        <v>52</v>
      </c>
      <c r="N93" t="s">
        <v>1748</v>
      </c>
      <c r="O93" t="s">
        <v>114</v>
      </c>
      <c r="P93">
        <v>1</v>
      </c>
      <c r="Q93" t="s">
        <v>45</v>
      </c>
    </row>
    <row r="94" spans="1:17">
      <c r="A94">
        <v>34</v>
      </c>
      <c r="B94" t="s">
        <v>138</v>
      </c>
      <c r="C94" t="s">
        <v>143</v>
      </c>
      <c r="D94" t="s">
        <v>27</v>
      </c>
      <c r="E94" s="6">
        <v>45353</v>
      </c>
      <c r="F94" t="s">
        <v>239</v>
      </c>
      <c r="G94" t="s">
        <v>1045</v>
      </c>
      <c r="H94" t="s">
        <v>40</v>
      </c>
      <c r="I94" s="4">
        <v>7340.30611258776</v>
      </c>
      <c r="J94">
        <v>326</v>
      </c>
      <c r="K94" t="s">
        <v>36</v>
      </c>
      <c r="L94" s="6">
        <v>45375</v>
      </c>
      <c r="M94" t="s">
        <v>50</v>
      </c>
      <c r="N94" t="s">
        <v>1748</v>
      </c>
      <c r="O94" t="s">
        <v>114</v>
      </c>
      <c r="P94">
        <v>22</v>
      </c>
      <c r="Q94" t="s">
        <v>45</v>
      </c>
    </row>
    <row r="95" spans="1:17">
      <c r="A95">
        <v>18</v>
      </c>
      <c r="B95" t="s">
        <v>137</v>
      </c>
      <c r="C95" t="s">
        <v>140</v>
      </c>
      <c r="D95" t="s">
        <v>32</v>
      </c>
      <c r="E95" s="6">
        <v>45364</v>
      </c>
      <c r="F95" t="s">
        <v>240</v>
      </c>
      <c r="G95" t="s">
        <v>1046</v>
      </c>
      <c r="H95" t="s">
        <v>39</v>
      </c>
      <c r="I95" s="4">
        <v>1786.839678051768</v>
      </c>
      <c r="J95">
        <v>442</v>
      </c>
      <c r="K95" t="s">
        <v>35</v>
      </c>
      <c r="L95" s="6">
        <v>45380</v>
      </c>
      <c r="M95" t="s">
        <v>53</v>
      </c>
      <c r="N95" t="s">
        <v>1748</v>
      </c>
      <c r="O95" t="s">
        <v>114</v>
      </c>
      <c r="P95">
        <v>16</v>
      </c>
      <c r="Q95" t="s">
        <v>44</v>
      </c>
    </row>
    <row r="96" spans="1:17">
      <c r="A96">
        <v>36</v>
      </c>
      <c r="B96" t="s">
        <v>138</v>
      </c>
      <c r="C96" t="s">
        <v>144</v>
      </c>
      <c r="D96" t="s">
        <v>30</v>
      </c>
      <c r="E96" s="6">
        <v>45358</v>
      </c>
      <c r="F96" t="s">
        <v>241</v>
      </c>
      <c r="G96" t="s">
        <v>1047</v>
      </c>
      <c r="H96" t="s">
        <v>39</v>
      </c>
      <c r="I96" s="4">
        <v>40075.91086467569</v>
      </c>
      <c r="J96">
        <v>483</v>
      </c>
      <c r="K96" t="s">
        <v>34</v>
      </c>
      <c r="L96" s="6">
        <v>45380</v>
      </c>
      <c r="M96" t="s">
        <v>51</v>
      </c>
      <c r="N96" t="s">
        <v>1747</v>
      </c>
      <c r="O96" t="s">
        <v>114</v>
      </c>
      <c r="P96">
        <v>22</v>
      </c>
      <c r="Q96" t="s">
        <v>46</v>
      </c>
    </row>
    <row r="97" spans="1:17">
      <c r="A97">
        <v>54</v>
      </c>
      <c r="B97" t="s">
        <v>138</v>
      </c>
      <c r="C97" t="s">
        <v>139</v>
      </c>
      <c r="D97" t="s">
        <v>32</v>
      </c>
      <c r="E97" s="6">
        <v>45370</v>
      </c>
      <c r="F97" t="s">
        <v>242</v>
      </c>
      <c r="G97" t="s">
        <v>1048</v>
      </c>
      <c r="H97" t="s">
        <v>41</v>
      </c>
      <c r="I97" s="4">
        <v>17464.08310591676</v>
      </c>
      <c r="J97">
        <v>132</v>
      </c>
      <c r="K97" t="s">
        <v>35</v>
      </c>
      <c r="L97" s="6">
        <v>45393</v>
      </c>
      <c r="M97" t="s">
        <v>52</v>
      </c>
      <c r="N97" t="s">
        <v>1746</v>
      </c>
      <c r="O97" t="s">
        <v>114</v>
      </c>
      <c r="P97">
        <v>23</v>
      </c>
      <c r="Q97" t="s">
        <v>47</v>
      </c>
    </row>
    <row r="98" spans="1:17">
      <c r="A98">
        <v>45</v>
      </c>
      <c r="B98" t="s">
        <v>137</v>
      </c>
      <c r="C98" t="s">
        <v>145</v>
      </c>
      <c r="D98" t="s">
        <v>31</v>
      </c>
      <c r="E98" s="6">
        <v>45369</v>
      </c>
      <c r="F98" t="s">
        <v>243</v>
      </c>
      <c r="G98" t="s">
        <v>1049</v>
      </c>
      <c r="H98" t="s">
        <v>38</v>
      </c>
      <c r="I98" s="4">
        <v>15461.09135290058</v>
      </c>
      <c r="J98">
        <v>365</v>
      </c>
      <c r="K98" t="s">
        <v>34</v>
      </c>
      <c r="L98" s="6">
        <v>45396</v>
      </c>
      <c r="M98" t="s">
        <v>50</v>
      </c>
      <c r="N98" t="s">
        <v>1748</v>
      </c>
      <c r="O98" t="s">
        <v>114</v>
      </c>
      <c r="P98">
        <v>27</v>
      </c>
      <c r="Q98" t="s">
        <v>46</v>
      </c>
    </row>
    <row r="99" spans="1:17">
      <c r="A99">
        <v>47</v>
      </c>
      <c r="B99" t="s">
        <v>138</v>
      </c>
      <c r="C99" t="s">
        <v>145</v>
      </c>
      <c r="D99" t="s">
        <v>31</v>
      </c>
      <c r="E99" s="6">
        <v>45372</v>
      </c>
      <c r="F99" t="s">
        <v>244</v>
      </c>
      <c r="G99" t="s">
        <v>1050</v>
      </c>
      <c r="H99" t="s">
        <v>38</v>
      </c>
      <c r="I99" s="4">
        <v>37394.48937787728</v>
      </c>
      <c r="J99">
        <v>477</v>
      </c>
      <c r="K99" t="s">
        <v>36</v>
      </c>
      <c r="L99" s="6">
        <v>45392</v>
      </c>
      <c r="M99" t="s">
        <v>54</v>
      </c>
      <c r="N99" t="s">
        <v>1748</v>
      </c>
      <c r="O99" t="s">
        <v>114</v>
      </c>
      <c r="P99">
        <v>20</v>
      </c>
      <c r="Q99" t="s">
        <v>46</v>
      </c>
    </row>
    <row r="100" spans="1:17">
      <c r="A100">
        <v>24</v>
      </c>
      <c r="B100" t="s">
        <v>138</v>
      </c>
      <c r="C100" t="s">
        <v>140</v>
      </c>
      <c r="D100" t="s">
        <v>27</v>
      </c>
      <c r="E100" s="6">
        <v>45361</v>
      </c>
      <c r="F100" t="s">
        <v>245</v>
      </c>
      <c r="G100" t="s">
        <v>1051</v>
      </c>
      <c r="H100" t="s">
        <v>39</v>
      </c>
      <c r="I100" s="4">
        <v>42758.22610995282</v>
      </c>
      <c r="J100">
        <v>162</v>
      </c>
      <c r="K100" t="s">
        <v>36</v>
      </c>
      <c r="L100" s="6">
        <v>45367</v>
      </c>
      <c r="M100" t="s">
        <v>53</v>
      </c>
      <c r="N100" t="s">
        <v>1747</v>
      </c>
      <c r="O100" t="s">
        <v>114</v>
      </c>
      <c r="P100">
        <v>6</v>
      </c>
      <c r="Q100" t="s">
        <v>45</v>
      </c>
    </row>
    <row r="101" spans="1:17">
      <c r="A101">
        <v>22</v>
      </c>
      <c r="B101" t="s">
        <v>138</v>
      </c>
      <c r="C101" t="s">
        <v>142</v>
      </c>
      <c r="D101" t="s">
        <v>32</v>
      </c>
      <c r="E101" s="6">
        <v>45358</v>
      </c>
      <c r="F101" t="s">
        <v>246</v>
      </c>
      <c r="G101" t="s">
        <v>1052</v>
      </c>
      <c r="H101" t="s">
        <v>39</v>
      </c>
      <c r="I101" s="4">
        <v>28652.45518318776</v>
      </c>
      <c r="J101">
        <v>136</v>
      </c>
      <c r="K101" t="s">
        <v>35</v>
      </c>
      <c r="L101" s="6">
        <v>45373</v>
      </c>
      <c r="M101" t="s">
        <v>52</v>
      </c>
      <c r="N101" t="s">
        <v>1746</v>
      </c>
      <c r="O101" t="s">
        <v>114</v>
      </c>
      <c r="P101">
        <v>15</v>
      </c>
      <c r="Q101" t="s">
        <v>45</v>
      </c>
    </row>
    <row r="102" spans="1:17">
      <c r="A102">
        <v>57</v>
      </c>
      <c r="B102" t="s">
        <v>138</v>
      </c>
      <c r="C102" t="s">
        <v>143</v>
      </c>
      <c r="D102" t="s">
        <v>31</v>
      </c>
      <c r="E102" s="6">
        <v>45367</v>
      </c>
      <c r="F102" t="s">
        <v>247</v>
      </c>
      <c r="G102" t="s">
        <v>1053</v>
      </c>
      <c r="H102" t="s">
        <v>39</v>
      </c>
      <c r="I102" s="4">
        <v>33734.14923461052</v>
      </c>
      <c r="J102">
        <v>265</v>
      </c>
      <c r="K102" t="s">
        <v>35</v>
      </c>
      <c r="L102" s="6">
        <v>45389</v>
      </c>
      <c r="M102" t="s">
        <v>50</v>
      </c>
      <c r="N102" t="s">
        <v>1746</v>
      </c>
      <c r="O102" t="s">
        <v>114</v>
      </c>
      <c r="P102">
        <v>22</v>
      </c>
      <c r="Q102" t="s">
        <v>47</v>
      </c>
    </row>
    <row r="103" spans="1:17">
      <c r="A103">
        <v>40</v>
      </c>
      <c r="B103" t="s">
        <v>138</v>
      </c>
      <c r="C103" t="s">
        <v>141</v>
      </c>
      <c r="D103" t="s">
        <v>32</v>
      </c>
      <c r="E103" s="6">
        <v>45363</v>
      </c>
      <c r="F103" t="s">
        <v>248</v>
      </c>
      <c r="G103" t="s">
        <v>1054</v>
      </c>
      <c r="H103" t="s">
        <v>40</v>
      </c>
      <c r="I103" s="4">
        <v>7987.502383778308</v>
      </c>
      <c r="J103">
        <v>134</v>
      </c>
      <c r="K103" t="s">
        <v>36</v>
      </c>
      <c r="L103" s="6">
        <v>45384</v>
      </c>
      <c r="M103" t="s">
        <v>50</v>
      </c>
      <c r="N103" t="s">
        <v>1747</v>
      </c>
      <c r="O103" t="s">
        <v>114</v>
      </c>
      <c r="P103">
        <v>21</v>
      </c>
      <c r="Q103" t="s">
        <v>46</v>
      </c>
    </row>
    <row r="104" spans="1:17">
      <c r="A104">
        <v>33</v>
      </c>
      <c r="B104" t="s">
        <v>138</v>
      </c>
      <c r="C104" t="s">
        <v>142</v>
      </c>
      <c r="D104" t="s">
        <v>32</v>
      </c>
      <c r="E104" s="6">
        <v>45353</v>
      </c>
      <c r="F104" t="s">
        <v>249</v>
      </c>
      <c r="G104" t="s">
        <v>1055</v>
      </c>
      <c r="H104" t="s">
        <v>39</v>
      </c>
      <c r="I104" s="4">
        <v>43558.7670527172</v>
      </c>
      <c r="J104">
        <v>332</v>
      </c>
      <c r="K104" t="s">
        <v>36</v>
      </c>
      <c r="L104" s="6">
        <v>45382</v>
      </c>
      <c r="M104" t="s">
        <v>50</v>
      </c>
      <c r="N104" t="s">
        <v>1747</v>
      </c>
      <c r="O104" t="s">
        <v>114</v>
      </c>
      <c r="P104">
        <v>29</v>
      </c>
      <c r="Q104" t="s">
        <v>45</v>
      </c>
    </row>
    <row r="105" spans="1:17">
      <c r="A105">
        <v>59</v>
      </c>
      <c r="B105" t="s">
        <v>138</v>
      </c>
      <c r="C105" t="s">
        <v>143</v>
      </c>
      <c r="D105" t="s">
        <v>32</v>
      </c>
      <c r="E105" s="6">
        <v>45366</v>
      </c>
      <c r="F105" t="s">
        <v>250</v>
      </c>
      <c r="G105" t="s">
        <v>982</v>
      </c>
      <c r="H105" t="s">
        <v>39</v>
      </c>
      <c r="I105" s="4">
        <v>31917.4215183005</v>
      </c>
      <c r="J105">
        <v>331</v>
      </c>
      <c r="K105" t="s">
        <v>35</v>
      </c>
      <c r="L105" s="6">
        <v>45380</v>
      </c>
      <c r="M105" t="s">
        <v>53</v>
      </c>
      <c r="N105" t="s">
        <v>1746</v>
      </c>
      <c r="O105" t="s">
        <v>114</v>
      </c>
      <c r="P105">
        <v>14</v>
      </c>
      <c r="Q105" t="s">
        <v>47</v>
      </c>
    </row>
    <row r="106" spans="1:17">
      <c r="A106">
        <v>41</v>
      </c>
      <c r="B106" t="s">
        <v>137</v>
      </c>
      <c r="C106" t="s">
        <v>144</v>
      </c>
      <c r="D106" t="s">
        <v>28</v>
      </c>
      <c r="E106" s="6">
        <v>45375</v>
      </c>
      <c r="F106" t="s">
        <v>251</v>
      </c>
      <c r="G106" t="s">
        <v>1056</v>
      </c>
      <c r="H106" t="s">
        <v>40</v>
      </c>
      <c r="I106" s="4">
        <v>40540.65092657389</v>
      </c>
      <c r="J106">
        <v>169</v>
      </c>
      <c r="K106" t="s">
        <v>34</v>
      </c>
      <c r="L106" s="6">
        <v>45390</v>
      </c>
      <c r="M106" t="s">
        <v>54</v>
      </c>
      <c r="N106" t="s">
        <v>1747</v>
      </c>
      <c r="O106" t="s">
        <v>114</v>
      </c>
      <c r="P106">
        <v>15</v>
      </c>
      <c r="Q106" t="s">
        <v>46</v>
      </c>
    </row>
    <row r="107" spans="1:17">
      <c r="A107">
        <v>83</v>
      </c>
      <c r="B107" t="s">
        <v>137</v>
      </c>
      <c r="C107" t="s">
        <v>140</v>
      </c>
      <c r="D107" t="s">
        <v>29</v>
      </c>
      <c r="E107" s="6">
        <v>45377</v>
      </c>
      <c r="F107" t="s">
        <v>252</v>
      </c>
      <c r="G107" t="s">
        <v>1057</v>
      </c>
      <c r="H107" t="s">
        <v>39</v>
      </c>
      <c r="I107" s="4">
        <v>21109.65645439308</v>
      </c>
      <c r="J107">
        <v>436</v>
      </c>
      <c r="K107" t="s">
        <v>36</v>
      </c>
      <c r="L107" s="6">
        <v>45401</v>
      </c>
      <c r="M107" t="s">
        <v>52</v>
      </c>
      <c r="N107" t="s">
        <v>1748</v>
      </c>
      <c r="O107" t="s">
        <v>114</v>
      </c>
      <c r="P107">
        <v>24</v>
      </c>
      <c r="Q107" t="s">
        <v>48</v>
      </c>
    </row>
    <row r="108" spans="1:17">
      <c r="A108">
        <v>61</v>
      </c>
      <c r="B108" t="s">
        <v>138</v>
      </c>
      <c r="C108" t="s">
        <v>146</v>
      </c>
      <c r="D108" t="s">
        <v>29</v>
      </c>
      <c r="E108" s="6">
        <v>45353</v>
      </c>
      <c r="F108" t="s">
        <v>253</v>
      </c>
      <c r="G108" t="s">
        <v>1058</v>
      </c>
      <c r="H108" t="s">
        <v>42</v>
      </c>
      <c r="I108" s="4">
        <v>23253.39897001937</v>
      </c>
      <c r="J108">
        <v>167</v>
      </c>
      <c r="K108" t="s">
        <v>35</v>
      </c>
      <c r="L108" s="6">
        <v>45360</v>
      </c>
      <c r="M108" t="s">
        <v>50</v>
      </c>
      <c r="N108" t="s">
        <v>1747</v>
      </c>
      <c r="O108" t="s">
        <v>114</v>
      </c>
      <c r="P108">
        <v>7</v>
      </c>
      <c r="Q108" t="s">
        <v>47</v>
      </c>
    </row>
    <row r="109" spans="1:17">
      <c r="A109">
        <v>71</v>
      </c>
      <c r="B109" t="s">
        <v>137</v>
      </c>
      <c r="C109" t="s">
        <v>139</v>
      </c>
      <c r="D109" t="s">
        <v>30</v>
      </c>
      <c r="E109" s="6">
        <v>45381</v>
      </c>
      <c r="F109" t="s">
        <v>254</v>
      </c>
      <c r="G109" t="s">
        <v>1059</v>
      </c>
      <c r="H109" t="s">
        <v>42</v>
      </c>
      <c r="I109" s="4">
        <v>44175.60668675551</v>
      </c>
      <c r="J109">
        <v>363</v>
      </c>
      <c r="K109" t="s">
        <v>36</v>
      </c>
      <c r="L109" s="6">
        <v>45387</v>
      </c>
      <c r="M109" t="s">
        <v>53</v>
      </c>
      <c r="N109" t="s">
        <v>1748</v>
      </c>
      <c r="O109" t="s">
        <v>114</v>
      </c>
      <c r="P109">
        <v>6</v>
      </c>
      <c r="Q109" t="s">
        <v>48</v>
      </c>
    </row>
    <row r="110" spans="1:17">
      <c r="A110">
        <v>45</v>
      </c>
      <c r="B110" t="s">
        <v>138</v>
      </c>
      <c r="C110" t="s">
        <v>143</v>
      </c>
      <c r="D110" t="s">
        <v>29</v>
      </c>
      <c r="E110" s="6">
        <v>45352</v>
      </c>
      <c r="F110" t="s">
        <v>255</v>
      </c>
      <c r="G110" t="s">
        <v>1060</v>
      </c>
      <c r="H110" t="s">
        <v>42</v>
      </c>
      <c r="I110" s="4">
        <v>2495.739151982556</v>
      </c>
      <c r="J110">
        <v>416</v>
      </c>
      <c r="K110" t="s">
        <v>34</v>
      </c>
      <c r="L110" s="6">
        <v>45377</v>
      </c>
      <c r="M110" t="s">
        <v>51</v>
      </c>
      <c r="N110" t="s">
        <v>1746</v>
      </c>
      <c r="O110" t="s">
        <v>114</v>
      </c>
      <c r="P110">
        <v>25</v>
      </c>
      <c r="Q110" t="s">
        <v>46</v>
      </c>
    </row>
    <row r="111" spans="1:17">
      <c r="A111">
        <v>71</v>
      </c>
      <c r="B111" t="s">
        <v>138</v>
      </c>
      <c r="C111" t="s">
        <v>141</v>
      </c>
      <c r="D111" t="s">
        <v>29</v>
      </c>
      <c r="E111" s="6">
        <v>45382</v>
      </c>
      <c r="F111" t="s">
        <v>256</v>
      </c>
      <c r="G111" t="s">
        <v>1061</v>
      </c>
      <c r="H111" t="s">
        <v>39</v>
      </c>
      <c r="I111" s="4">
        <v>19263.8638778965</v>
      </c>
      <c r="J111">
        <v>157</v>
      </c>
      <c r="K111" t="s">
        <v>34</v>
      </c>
      <c r="L111" s="6">
        <v>45401</v>
      </c>
      <c r="M111" t="s">
        <v>54</v>
      </c>
      <c r="N111" t="s">
        <v>1748</v>
      </c>
      <c r="O111" t="s">
        <v>114</v>
      </c>
      <c r="P111">
        <v>19</v>
      </c>
      <c r="Q111" t="s">
        <v>48</v>
      </c>
    </row>
    <row r="112" spans="1:17">
      <c r="A112">
        <v>63</v>
      </c>
      <c r="B112" t="s">
        <v>137</v>
      </c>
      <c r="C112" t="s">
        <v>146</v>
      </c>
      <c r="D112" t="s">
        <v>27</v>
      </c>
      <c r="E112" s="6">
        <v>45354</v>
      </c>
      <c r="F112" t="s">
        <v>257</v>
      </c>
      <c r="G112" t="s">
        <v>1062</v>
      </c>
      <c r="H112" t="s">
        <v>38</v>
      </c>
      <c r="I112" s="4">
        <v>35834.81248635597</v>
      </c>
      <c r="J112">
        <v>487</v>
      </c>
      <c r="K112" t="s">
        <v>36</v>
      </c>
      <c r="L112" s="6">
        <v>45368</v>
      </c>
      <c r="M112" t="s">
        <v>51</v>
      </c>
      <c r="N112" t="s">
        <v>1747</v>
      </c>
      <c r="O112" t="s">
        <v>114</v>
      </c>
      <c r="P112">
        <v>14</v>
      </c>
      <c r="Q112" t="s">
        <v>47</v>
      </c>
    </row>
    <row r="113" spans="1:17">
      <c r="A113">
        <v>68</v>
      </c>
      <c r="B113" t="s">
        <v>137</v>
      </c>
      <c r="C113" t="s">
        <v>140</v>
      </c>
      <c r="D113" t="s">
        <v>32</v>
      </c>
      <c r="E113" s="6">
        <v>45367</v>
      </c>
      <c r="F113" t="s">
        <v>258</v>
      </c>
      <c r="G113" t="s">
        <v>1063</v>
      </c>
      <c r="H113" t="s">
        <v>42</v>
      </c>
      <c r="I113" s="4">
        <v>8824.970092099122</v>
      </c>
      <c r="J113">
        <v>399</v>
      </c>
      <c r="K113" t="s">
        <v>34</v>
      </c>
      <c r="L113" s="6">
        <v>45391</v>
      </c>
      <c r="M113" t="s">
        <v>52</v>
      </c>
      <c r="N113" t="s">
        <v>1748</v>
      </c>
      <c r="O113" t="s">
        <v>114</v>
      </c>
      <c r="P113">
        <v>24</v>
      </c>
      <c r="Q113" t="s">
        <v>48</v>
      </c>
    </row>
    <row r="114" spans="1:17">
      <c r="A114">
        <v>54</v>
      </c>
      <c r="B114" t="s">
        <v>138</v>
      </c>
      <c r="C114" t="s">
        <v>146</v>
      </c>
      <c r="D114" t="s">
        <v>32</v>
      </c>
      <c r="E114" s="6">
        <v>45379</v>
      </c>
      <c r="F114" t="s">
        <v>259</v>
      </c>
      <c r="G114" t="s">
        <v>1064</v>
      </c>
      <c r="H114" t="s">
        <v>38</v>
      </c>
      <c r="I114" s="4">
        <v>43720.59285686168</v>
      </c>
      <c r="J114">
        <v>133</v>
      </c>
      <c r="K114" t="s">
        <v>34</v>
      </c>
      <c r="L114" s="6">
        <v>45381</v>
      </c>
      <c r="M114" t="s">
        <v>50</v>
      </c>
      <c r="N114" t="s">
        <v>1748</v>
      </c>
      <c r="O114" t="s">
        <v>114</v>
      </c>
      <c r="P114">
        <v>2</v>
      </c>
      <c r="Q114" t="s">
        <v>47</v>
      </c>
    </row>
    <row r="115" spans="1:17">
      <c r="A115">
        <v>50</v>
      </c>
      <c r="B115" t="s">
        <v>137</v>
      </c>
      <c r="C115" t="s">
        <v>141</v>
      </c>
      <c r="D115" t="s">
        <v>28</v>
      </c>
      <c r="E115" s="6">
        <v>45356</v>
      </c>
      <c r="F115" t="s">
        <v>260</v>
      </c>
      <c r="G115" t="s">
        <v>1065</v>
      </c>
      <c r="H115" t="s">
        <v>39</v>
      </c>
      <c r="I115" s="4">
        <v>17549.39333425224</v>
      </c>
      <c r="J115">
        <v>376</v>
      </c>
      <c r="K115" t="s">
        <v>34</v>
      </c>
      <c r="L115" s="6">
        <v>45366</v>
      </c>
      <c r="M115" t="s">
        <v>53</v>
      </c>
      <c r="N115" t="s">
        <v>1746</v>
      </c>
      <c r="O115" t="s">
        <v>114</v>
      </c>
      <c r="P115">
        <v>10</v>
      </c>
      <c r="Q115" t="s">
        <v>46</v>
      </c>
    </row>
    <row r="116" spans="1:17">
      <c r="A116">
        <v>73</v>
      </c>
      <c r="B116" t="s">
        <v>138</v>
      </c>
      <c r="C116" t="s">
        <v>143</v>
      </c>
      <c r="D116" t="s">
        <v>30</v>
      </c>
      <c r="E116" s="6">
        <v>45356</v>
      </c>
      <c r="F116" t="s">
        <v>261</v>
      </c>
      <c r="G116" t="s">
        <v>1066</v>
      </c>
      <c r="H116" t="s">
        <v>39</v>
      </c>
      <c r="I116" s="4">
        <v>13075.01637140963</v>
      </c>
      <c r="J116">
        <v>410</v>
      </c>
      <c r="K116" t="s">
        <v>35</v>
      </c>
      <c r="L116" s="6">
        <v>45385</v>
      </c>
      <c r="M116" t="s">
        <v>53</v>
      </c>
      <c r="N116" t="s">
        <v>1746</v>
      </c>
      <c r="O116" t="s">
        <v>114</v>
      </c>
      <c r="P116">
        <v>29</v>
      </c>
      <c r="Q116" t="s">
        <v>48</v>
      </c>
    </row>
    <row r="117" spans="1:17">
      <c r="A117">
        <v>50</v>
      </c>
      <c r="B117" t="s">
        <v>138</v>
      </c>
      <c r="C117" t="s">
        <v>140</v>
      </c>
      <c r="D117" t="s">
        <v>27</v>
      </c>
      <c r="E117" s="6">
        <v>45367</v>
      </c>
      <c r="F117" t="s">
        <v>262</v>
      </c>
      <c r="G117" t="s">
        <v>1067</v>
      </c>
      <c r="H117" t="s">
        <v>40</v>
      </c>
      <c r="I117" s="4">
        <v>12573.73735152626</v>
      </c>
      <c r="J117">
        <v>200</v>
      </c>
      <c r="K117" t="s">
        <v>35</v>
      </c>
      <c r="L117" s="6">
        <v>45394</v>
      </c>
      <c r="M117" t="s">
        <v>50</v>
      </c>
      <c r="N117" t="s">
        <v>1746</v>
      </c>
      <c r="O117" t="s">
        <v>114</v>
      </c>
      <c r="P117">
        <v>27</v>
      </c>
      <c r="Q117" t="s">
        <v>46</v>
      </c>
    </row>
    <row r="118" spans="1:17">
      <c r="A118">
        <v>72</v>
      </c>
      <c r="B118" t="s">
        <v>137</v>
      </c>
      <c r="C118" t="s">
        <v>139</v>
      </c>
      <c r="D118" t="s">
        <v>27</v>
      </c>
      <c r="E118" s="6">
        <v>45361</v>
      </c>
      <c r="F118" t="s">
        <v>263</v>
      </c>
      <c r="G118" t="s">
        <v>1068</v>
      </c>
      <c r="H118" t="s">
        <v>40</v>
      </c>
      <c r="I118" s="4">
        <v>38752.1885938643</v>
      </c>
      <c r="J118">
        <v>358</v>
      </c>
      <c r="K118" t="s">
        <v>35</v>
      </c>
      <c r="L118" s="6">
        <v>45384</v>
      </c>
      <c r="M118" t="s">
        <v>53</v>
      </c>
      <c r="N118" t="s">
        <v>1748</v>
      </c>
      <c r="O118" t="s">
        <v>114</v>
      </c>
      <c r="P118">
        <v>23</v>
      </c>
      <c r="Q118" t="s">
        <v>48</v>
      </c>
    </row>
    <row r="119" spans="1:17">
      <c r="A119">
        <v>77</v>
      </c>
      <c r="B119" t="s">
        <v>137</v>
      </c>
      <c r="C119" t="s">
        <v>146</v>
      </c>
      <c r="D119" t="s">
        <v>32</v>
      </c>
      <c r="E119" s="6">
        <v>45368</v>
      </c>
      <c r="F119" t="s">
        <v>264</v>
      </c>
      <c r="G119" t="s">
        <v>1069</v>
      </c>
      <c r="H119" t="s">
        <v>39</v>
      </c>
      <c r="I119" s="4">
        <v>17323.87447468525</v>
      </c>
      <c r="J119">
        <v>443</v>
      </c>
      <c r="K119" t="s">
        <v>34</v>
      </c>
      <c r="L119" s="6">
        <v>45385</v>
      </c>
      <c r="M119" t="s">
        <v>50</v>
      </c>
      <c r="N119" t="s">
        <v>1748</v>
      </c>
      <c r="O119" t="s">
        <v>114</v>
      </c>
      <c r="P119">
        <v>17</v>
      </c>
      <c r="Q119" t="s">
        <v>48</v>
      </c>
    </row>
    <row r="120" spans="1:17">
      <c r="A120">
        <v>42</v>
      </c>
      <c r="B120" t="s">
        <v>138</v>
      </c>
      <c r="C120" t="s">
        <v>143</v>
      </c>
      <c r="D120" t="s">
        <v>27</v>
      </c>
      <c r="E120" s="6">
        <v>45378</v>
      </c>
      <c r="F120" t="s">
        <v>265</v>
      </c>
      <c r="G120" t="s">
        <v>1070</v>
      </c>
      <c r="H120" t="s">
        <v>38</v>
      </c>
      <c r="I120" s="4">
        <v>21288.96523656194</v>
      </c>
      <c r="J120">
        <v>305</v>
      </c>
      <c r="K120" t="s">
        <v>36</v>
      </c>
      <c r="L120" s="6">
        <v>45408</v>
      </c>
      <c r="M120" t="s">
        <v>51</v>
      </c>
      <c r="N120" t="s">
        <v>1748</v>
      </c>
      <c r="O120" t="s">
        <v>114</v>
      </c>
      <c r="P120">
        <v>30</v>
      </c>
      <c r="Q120" t="s">
        <v>46</v>
      </c>
    </row>
    <row r="121" spans="1:17">
      <c r="A121">
        <v>37</v>
      </c>
      <c r="B121" t="s">
        <v>138</v>
      </c>
      <c r="C121" t="s">
        <v>142</v>
      </c>
      <c r="D121" t="s">
        <v>31</v>
      </c>
      <c r="E121" s="6">
        <v>45352</v>
      </c>
      <c r="F121" t="s">
        <v>266</v>
      </c>
      <c r="G121" t="s">
        <v>1071</v>
      </c>
      <c r="H121" t="s">
        <v>40</v>
      </c>
      <c r="I121" s="4">
        <v>11978.4205955807</v>
      </c>
      <c r="J121">
        <v>151</v>
      </c>
      <c r="K121" t="s">
        <v>35</v>
      </c>
      <c r="L121" s="6">
        <v>45380</v>
      </c>
      <c r="M121" t="s">
        <v>50</v>
      </c>
      <c r="N121" t="s">
        <v>1747</v>
      </c>
      <c r="O121" t="s">
        <v>114</v>
      </c>
      <c r="P121">
        <v>28</v>
      </c>
      <c r="Q121" t="s">
        <v>46</v>
      </c>
    </row>
    <row r="122" spans="1:17">
      <c r="A122">
        <v>67</v>
      </c>
      <c r="B122" t="s">
        <v>138</v>
      </c>
      <c r="C122" t="s">
        <v>141</v>
      </c>
      <c r="D122" t="s">
        <v>31</v>
      </c>
      <c r="E122" s="6">
        <v>45354</v>
      </c>
      <c r="F122" t="s">
        <v>267</v>
      </c>
      <c r="G122" t="s">
        <v>1072</v>
      </c>
      <c r="H122" t="s">
        <v>39</v>
      </c>
      <c r="I122" s="4">
        <v>24188.34133574274</v>
      </c>
      <c r="J122">
        <v>444</v>
      </c>
      <c r="K122" t="s">
        <v>36</v>
      </c>
      <c r="L122" s="6">
        <v>45380</v>
      </c>
      <c r="M122" t="s">
        <v>54</v>
      </c>
      <c r="N122" t="s">
        <v>1746</v>
      </c>
      <c r="O122" t="s">
        <v>114</v>
      </c>
      <c r="P122">
        <v>26</v>
      </c>
      <c r="Q122" t="s">
        <v>48</v>
      </c>
    </row>
    <row r="123" spans="1:17">
      <c r="A123">
        <v>69</v>
      </c>
      <c r="B123" t="s">
        <v>138</v>
      </c>
      <c r="C123" t="s">
        <v>143</v>
      </c>
      <c r="D123" t="s">
        <v>28</v>
      </c>
      <c r="E123" s="6">
        <v>45375</v>
      </c>
      <c r="F123" t="s">
        <v>268</v>
      </c>
      <c r="G123" t="s">
        <v>1073</v>
      </c>
      <c r="H123" t="s">
        <v>40</v>
      </c>
      <c r="I123" s="4">
        <v>41720.42126701013</v>
      </c>
      <c r="J123">
        <v>291</v>
      </c>
      <c r="K123" t="s">
        <v>36</v>
      </c>
      <c r="L123" s="6">
        <v>45381</v>
      </c>
      <c r="M123" t="s">
        <v>54</v>
      </c>
      <c r="N123" t="s">
        <v>1746</v>
      </c>
      <c r="O123" t="s">
        <v>114</v>
      </c>
      <c r="P123">
        <v>6</v>
      </c>
      <c r="Q123" t="s">
        <v>48</v>
      </c>
    </row>
    <row r="124" spans="1:17">
      <c r="A124">
        <v>52</v>
      </c>
      <c r="B124" t="s">
        <v>137</v>
      </c>
      <c r="C124" t="s">
        <v>140</v>
      </c>
      <c r="D124" t="s">
        <v>27</v>
      </c>
      <c r="E124" s="6">
        <v>45365</v>
      </c>
      <c r="F124" t="s">
        <v>269</v>
      </c>
      <c r="G124" t="s">
        <v>1074</v>
      </c>
      <c r="H124" t="s">
        <v>38</v>
      </c>
      <c r="I124" s="4">
        <v>43939.06191177292</v>
      </c>
      <c r="J124">
        <v>108</v>
      </c>
      <c r="K124" t="s">
        <v>34</v>
      </c>
      <c r="L124" s="6">
        <v>45383</v>
      </c>
      <c r="M124" t="s">
        <v>50</v>
      </c>
      <c r="N124" t="s">
        <v>1746</v>
      </c>
      <c r="O124" t="s">
        <v>114</v>
      </c>
      <c r="P124">
        <v>18</v>
      </c>
      <c r="Q124" t="s">
        <v>47</v>
      </c>
    </row>
    <row r="125" spans="1:17">
      <c r="A125">
        <v>47</v>
      </c>
      <c r="B125" t="s">
        <v>138</v>
      </c>
      <c r="C125" t="s">
        <v>145</v>
      </c>
      <c r="D125" t="s">
        <v>28</v>
      </c>
      <c r="E125" s="6">
        <v>45359</v>
      </c>
      <c r="F125" t="s">
        <v>270</v>
      </c>
      <c r="G125" t="s">
        <v>1075</v>
      </c>
      <c r="H125" t="s">
        <v>40</v>
      </c>
      <c r="I125" s="4">
        <v>8507.744604252264</v>
      </c>
      <c r="J125">
        <v>462</v>
      </c>
      <c r="K125" t="s">
        <v>35</v>
      </c>
      <c r="L125" s="6">
        <v>45375</v>
      </c>
      <c r="M125" t="s">
        <v>54</v>
      </c>
      <c r="N125" t="s">
        <v>1748</v>
      </c>
      <c r="O125" t="s">
        <v>114</v>
      </c>
      <c r="P125">
        <v>16</v>
      </c>
      <c r="Q125" t="s">
        <v>46</v>
      </c>
    </row>
    <row r="126" spans="1:17">
      <c r="A126">
        <v>65</v>
      </c>
      <c r="B126" t="s">
        <v>138</v>
      </c>
      <c r="C126" t="s">
        <v>140</v>
      </c>
      <c r="D126" t="s">
        <v>30</v>
      </c>
      <c r="E126" s="6">
        <v>45373</v>
      </c>
      <c r="F126" t="s">
        <v>271</v>
      </c>
      <c r="G126" t="s">
        <v>1076</v>
      </c>
      <c r="H126" t="s">
        <v>39</v>
      </c>
      <c r="I126" s="4">
        <v>1586.682473753232</v>
      </c>
      <c r="J126">
        <v>169</v>
      </c>
      <c r="K126" t="s">
        <v>36</v>
      </c>
      <c r="L126" s="6">
        <v>45381</v>
      </c>
      <c r="M126" t="s">
        <v>51</v>
      </c>
      <c r="N126" t="s">
        <v>1748</v>
      </c>
      <c r="O126" t="s">
        <v>114</v>
      </c>
      <c r="P126">
        <v>8</v>
      </c>
      <c r="Q126" t="s">
        <v>47</v>
      </c>
    </row>
    <row r="127" spans="1:17">
      <c r="A127">
        <v>67</v>
      </c>
      <c r="B127" t="s">
        <v>137</v>
      </c>
      <c r="C127" t="s">
        <v>143</v>
      </c>
      <c r="D127" t="s">
        <v>28</v>
      </c>
      <c r="E127" s="6">
        <v>45360</v>
      </c>
      <c r="F127" t="s">
        <v>272</v>
      </c>
      <c r="G127" t="s">
        <v>1077</v>
      </c>
      <c r="H127" t="s">
        <v>39</v>
      </c>
      <c r="I127" s="4">
        <v>4279.381659864344</v>
      </c>
      <c r="J127">
        <v>190</v>
      </c>
      <c r="K127" t="s">
        <v>34</v>
      </c>
      <c r="L127" s="6">
        <v>45369</v>
      </c>
      <c r="M127" t="s">
        <v>53</v>
      </c>
      <c r="N127" t="s">
        <v>1746</v>
      </c>
      <c r="O127" t="s">
        <v>114</v>
      </c>
      <c r="P127">
        <v>9</v>
      </c>
      <c r="Q127" t="s">
        <v>48</v>
      </c>
    </row>
    <row r="128" spans="1:17">
      <c r="A128">
        <v>58</v>
      </c>
      <c r="B128" t="s">
        <v>138</v>
      </c>
      <c r="C128" t="s">
        <v>145</v>
      </c>
      <c r="D128" t="s">
        <v>28</v>
      </c>
      <c r="E128" s="6">
        <v>45363</v>
      </c>
      <c r="F128" t="s">
        <v>273</v>
      </c>
      <c r="G128" t="s">
        <v>1078</v>
      </c>
      <c r="H128" t="s">
        <v>39</v>
      </c>
      <c r="I128" s="4">
        <v>37913.47147015812</v>
      </c>
      <c r="J128">
        <v>325</v>
      </c>
      <c r="K128" t="s">
        <v>36</v>
      </c>
      <c r="L128" s="6">
        <v>45391</v>
      </c>
      <c r="M128" t="s">
        <v>53</v>
      </c>
      <c r="N128" t="s">
        <v>1746</v>
      </c>
      <c r="O128" t="s">
        <v>114</v>
      </c>
      <c r="P128">
        <v>28</v>
      </c>
      <c r="Q128" t="s">
        <v>47</v>
      </c>
    </row>
    <row r="129" spans="1:17">
      <c r="A129">
        <v>32</v>
      </c>
      <c r="B129" t="s">
        <v>138</v>
      </c>
      <c r="C129" t="s">
        <v>141</v>
      </c>
      <c r="D129" t="s">
        <v>32</v>
      </c>
      <c r="E129" s="6">
        <v>45381</v>
      </c>
      <c r="F129" t="s">
        <v>274</v>
      </c>
      <c r="G129" t="s">
        <v>1079</v>
      </c>
      <c r="H129" t="s">
        <v>41</v>
      </c>
      <c r="I129" s="4">
        <v>48720.20026532806</v>
      </c>
      <c r="J129">
        <v>439</v>
      </c>
      <c r="K129" t="s">
        <v>34</v>
      </c>
      <c r="L129" s="6">
        <v>45401</v>
      </c>
      <c r="M129" t="s">
        <v>51</v>
      </c>
      <c r="N129" t="s">
        <v>1748</v>
      </c>
      <c r="O129" t="s">
        <v>114</v>
      </c>
      <c r="P129">
        <v>20</v>
      </c>
      <c r="Q129" t="s">
        <v>45</v>
      </c>
    </row>
    <row r="130" spans="1:17">
      <c r="A130">
        <v>19</v>
      </c>
      <c r="B130" t="s">
        <v>137</v>
      </c>
      <c r="C130" t="s">
        <v>141</v>
      </c>
      <c r="D130" t="s">
        <v>32</v>
      </c>
      <c r="E130" s="6">
        <v>45361</v>
      </c>
      <c r="F130" t="s">
        <v>275</v>
      </c>
      <c r="G130" t="s">
        <v>1080</v>
      </c>
      <c r="H130" t="s">
        <v>39</v>
      </c>
      <c r="I130" s="4">
        <v>31050.21005622813</v>
      </c>
      <c r="J130">
        <v>398</v>
      </c>
      <c r="K130" t="s">
        <v>34</v>
      </c>
      <c r="L130" s="6">
        <v>45391</v>
      </c>
      <c r="M130" t="s">
        <v>50</v>
      </c>
      <c r="N130" t="s">
        <v>1747</v>
      </c>
      <c r="O130" t="s">
        <v>114</v>
      </c>
      <c r="P130">
        <v>30</v>
      </c>
      <c r="Q130" t="s">
        <v>45</v>
      </c>
    </row>
    <row r="131" spans="1:17">
      <c r="A131">
        <v>57</v>
      </c>
      <c r="B131" t="s">
        <v>137</v>
      </c>
      <c r="C131" t="s">
        <v>144</v>
      </c>
      <c r="D131" t="s">
        <v>29</v>
      </c>
      <c r="E131" s="6">
        <v>45381</v>
      </c>
      <c r="F131" t="s">
        <v>276</v>
      </c>
      <c r="G131" t="s">
        <v>1081</v>
      </c>
      <c r="H131" t="s">
        <v>39</v>
      </c>
      <c r="I131" s="4">
        <v>3041.139308051636</v>
      </c>
      <c r="J131">
        <v>387</v>
      </c>
      <c r="K131" t="s">
        <v>35</v>
      </c>
      <c r="L131" s="6">
        <v>45392</v>
      </c>
      <c r="M131" t="s">
        <v>53</v>
      </c>
      <c r="N131" t="s">
        <v>1748</v>
      </c>
      <c r="O131" t="s">
        <v>114</v>
      </c>
      <c r="P131">
        <v>11</v>
      </c>
      <c r="Q131" t="s">
        <v>47</v>
      </c>
    </row>
    <row r="132" spans="1:17">
      <c r="A132">
        <v>38</v>
      </c>
      <c r="B132" t="s">
        <v>137</v>
      </c>
      <c r="C132" t="s">
        <v>142</v>
      </c>
      <c r="D132" t="s">
        <v>29</v>
      </c>
      <c r="E132" s="6">
        <v>45365</v>
      </c>
      <c r="F132" t="s">
        <v>277</v>
      </c>
      <c r="G132" t="s">
        <v>1015</v>
      </c>
      <c r="H132" t="s">
        <v>41</v>
      </c>
      <c r="I132" s="4">
        <v>45427.60977454319</v>
      </c>
      <c r="J132">
        <v>355</v>
      </c>
      <c r="K132" t="s">
        <v>34</v>
      </c>
      <c r="L132" s="6">
        <v>45389</v>
      </c>
      <c r="M132" t="s">
        <v>53</v>
      </c>
      <c r="N132" t="s">
        <v>1747</v>
      </c>
      <c r="O132" t="s">
        <v>114</v>
      </c>
      <c r="P132">
        <v>24</v>
      </c>
      <c r="Q132" t="s">
        <v>46</v>
      </c>
    </row>
    <row r="133" spans="1:17">
      <c r="A133">
        <v>65</v>
      </c>
      <c r="B133" t="s">
        <v>138</v>
      </c>
      <c r="C133" t="s">
        <v>145</v>
      </c>
      <c r="D133" t="s">
        <v>28</v>
      </c>
      <c r="E133" s="6">
        <v>45359</v>
      </c>
      <c r="F133" t="s">
        <v>278</v>
      </c>
      <c r="G133" t="s">
        <v>1082</v>
      </c>
      <c r="H133" t="s">
        <v>39</v>
      </c>
      <c r="I133" s="4">
        <v>36618.40542733235</v>
      </c>
      <c r="J133">
        <v>297</v>
      </c>
      <c r="K133" t="s">
        <v>34</v>
      </c>
      <c r="L133" s="6">
        <v>45380</v>
      </c>
      <c r="M133" t="s">
        <v>53</v>
      </c>
      <c r="N133" t="s">
        <v>1748</v>
      </c>
      <c r="O133" t="s">
        <v>114</v>
      </c>
      <c r="P133">
        <v>21</v>
      </c>
      <c r="Q133" t="s">
        <v>47</v>
      </c>
    </row>
    <row r="134" spans="1:17">
      <c r="A134">
        <v>48</v>
      </c>
      <c r="B134" t="s">
        <v>138</v>
      </c>
      <c r="C134" t="s">
        <v>141</v>
      </c>
      <c r="D134" t="s">
        <v>29</v>
      </c>
      <c r="E134" s="6">
        <v>45367</v>
      </c>
      <c r="F134" t="s">
        <v>279</v>
      </c>
      <c r="G134" t="s">
        <v>1083</v>
      </c>
      <c r="H134" t="s">
        <v>40</v>
      </c>
      <c r="I134" s="4">
        <v>29473.96071549293</v>
      </c>
      <c r="J134">
        <v>214</v>
      </c>
      <c r="K134" t="s">
        <v>36</v>
      </c>
      <c r="L134" s="6">
        <v>45373</v>
      </c>
      <c r="M134" t="s">
        <v>54</v>
      </c>
      <c r="N134" t="s">
        <v>1747</v>
      </c>
      <c r="O134" t="s">
        <v>114</v>
      </c>
      <c r="P134">
        <v>6</v>
      </c>
      <c r="Q134" t="s">
        <v>46</v>
      </c>
    </row>
    <row r="135" spans="1:17">
      <c r="A135">
        <v>31</v>
      </c>
      <c r="B135" t="s">
        <v>138</v>
      </c>
      <c r="C135" t="s">
        <v>141</v>
      </c>
      <c r="D135" t="s">
        <v>30</v>
      </c>
      <c r="E135" s="6">
        <v>45364</v>
      </c>
      <c r="F135" t="s">
        <v>280</v>
      </c>
      <c r="G135" t="s">
        <v>1084</v>
      </c>
      <c r="H135" t="s">
        <v>38</v>
      </c>
      <c r="I135" s="4">
        <v>33003.17924068814</v>
      </c>
      <c r="J135">
        <v>390</v>
      </c>
      <c r="K135" t="s">
        <v>34</v>
      </c>
      <c r="L135" s="6">
        <v>45367</v>
      </c>
      <c r="M135" t="s">
        <v>52</v>
      </c>
      <c r="N135" t="s">
        <v>1746</v>
      </c>
      <c r="O135" t="s">
        <v>114</v>
      </c>
      <c r="P135">
        <v>3</v>
      </c>
      <c r="Q135" t="s">
        <v>45</v>
      </c>
    </row>
    <row r="136" spans="1:17">
      <c r="A136">
        <v>38</v>
      </c>
      <c r="B136" t="s">
        <v>138</v>
      </c>
      <c r="C136" t="s">
        <v>143</v>
      </c>
      <c r="D136" t="s">
        <v>30</v>
      </c>
      <c r="E136" s="6">
        <v>45367</v>
      </c>
      <c r="F136" t="s">
        <v>281</v>
      </c>
      <c r="G136" t="s">
        <v>1085</v>
      </c>
      <c r="H136" t="s">
        <v>41</v>
      </c>
      <c r="I136" s="4">
        <v>45939.03367368618</v>
      </c>
      <c r="J136">
        <v>112</v>
      </c>
      <c r="K136" t="s">
        <v>34</v>
      </c>
      <c r="L136" s="6">
        <v>45390</v>
      </c>
      <c r="M136" t="s">
        <v>54</v>
      </c>
      <c r="N136" t="s">
        <v>1747</v>
      </c>
      <c r="O136" t="s">
        <v>114</v>
      </c>
      <c r="P136">
        <v>23</v>
      </c>
      <c r="Q136" t="s">
        <v>46</v>
      </c>
    </row>
    <row r="137" spans="1:17">
      <c r="A137">
        <v>71</v>
      </c>
      <c r="B137" t="s">
        <v>137</v>
      </c>
      <c r="C137" t="s">
        <v>142</v>
      </c>
      <c r="D137" t="s">
        <v>27</v>
      </c>
      <c r="E137" s="6">
        <v>45376</v>
      </c>
      <c r="F137" t="s">
        <v>282</v>
      </c>
      <c r="G137" t="s">
        <v>1086</v>
      </c>
      <c r="H137" t="s">
        <v>40</v>
      </c>
      <c r="I137" s="4">
        <v>45780.66351855516</v>
      </c>
      <c r="J137">
        <v>328</v>
      </c>
      <c r="K137" t="s">
        <v>36</v>
      </c>
      <c r="L137" s="6">
        <v>45380</v>
      </c>
      <c r="M137" t="s">
        <v>51</v>
      </c>
      <c r="N137" t="s">
        <v>1746</v>
      </c>
      <c r="O137" t="s">
        <v>114</v>
      </c>
      <c r="P137">
        <v>4</v>
      </c>
      <c r="Q137" t="s">
        <v>48</v>
      </c>
    </row>
    <row r="138" spans="1:17">
      <c r="A138">
        <v>76</v>
      </c>
      <c r="B138" t="s">
        <v>138</v>
      </c>
      <c r="C138" t="s">
        <v>143</v>
      </c>
      <c r="D138" t="s">
        <v>29</v>
      </c>
      <c r="E138" s="6">
        <v>45373</v>
      </c>
      <c r="F138" t="s">
        <v>283</v>
      </c>
      <c r="G138" t="s">
        <v>1087</v>
      </c>
      <c r="H138" t="s">
        <v>40</v>
      </c>
      <c r="I138" s="4">
        <v>32791.44611318238</v>
      </c>
      <c r="J138">
        <v>405</v>
      </c>
      <c r="K138" t="s">
        <v>35</v>
      </c>
      <c r="L138" s="6">
        <v>45401</v>
      </c>
      <c r="M138" t="s">
        <v>52</v>
      </c>
      <c r="N138" t="s">
        <v>1746</v>
      </c>
      <c r="O138" t="s">
        <v>114</v>
      </c>
      <c r="P138">
        <v>28</v>
      </c>
      <c r="Q138" t="s">
        <v>48</v>
      </c>
    </row>
    <row r="139" spans="1:17">
      <c r="A139">
        <v>25</v>
      </c>
      <c r="B139" t="s">
        <v>138</v>
      </c>
      <c r="C139" t="s">
        <v>146</v>
      </c>
      <c r="D139" t="s">
        <v>29</v>
      </c>
      <c r="E139" s="6">
        <v>45370</v>
      </c>
      <c r="F139" t="s">
        <v>284</v>
      </c>
      <c r="G139" t="s">
        <v>1088</v>
      </c>
      <c r="H139" t="s">
        <v>41</v>
      </c>
      <c r="I139" s="4">
        <v>38803.33759312379</v>
      </c>
      <c r="J139">
        <v>376</v>
      </c>
      <c r="K139" t="s">
        <v>36</v>
      </c>
      <c r="L139" s="6">
        <v>45383</v>
      </c>
      <c r="M139" t="s">
        <v>51</v>
      </c>
      <c r="N139" t="s">
        <v>1748</v>
      </c>
      <c r="O139" t="s">
        <v>114</v>
      </c>
      <c r="P139">
        <v>13</v>
      </c>
      <c r="Q139" t="s">
        <v>45</v>
      </c>
    </row>
    <row r="140" spans="1:17">
      <c r="A140">
        <v>67</v>
      </c>
      <c r="B140" t="s">
        <v>138</v>
      </c>
      <c r="C140" t="s">
        <v>141</v>
      </c>
      <c r="D140" t="s">
        <v>28</v>
      </c>
      <c r="E140" s="6">
        <v>45352</v>
      </c>
      <c r="F140" t="s">
        <v>285</v>
      </c>
      <c r="G140" t="s">
        <v>1089</v>
      </c>
      <c r="H140" t="s">
        <v>39</v>
      </c>
      <c r="I140" s="4">
        <v>41291.22518473161</v>
      </c>
      <c r="J140">
        <v>466</v>
      </c>
      <c r="K140" t="s">
        <v>36</v>
      </c>
      <c r="L140" s="6">
        <v>45381</v>
      </c>
      <c r="M140" t="s">
        <v>52</v>
      </c>
      <c r="N140" t="s">
        <v>1748</v>
      </c>
      <c r="O140" t="s">
        <v>114</v>
      </c>
      <c r="P140">
        <v>29</v>
      </c>
      <c r="Q140" t="s">
        <v>48</v>
      </c>
    </row>
    <row r="141" spans="1:17">
      <c r="A141">
        <v>53</v>
      </c>
      <c r="B141" t="s">
        <v>138</v>
      </c>
      <c r="C141" t="s">
        <v>139</v>
      </c>
      <c r="D141" t="s">
        <v>29</v>
      </c>
      <c r="E141" s="6">
        <v>45375</v>
      </c>
      <c r="F141" t="s">
        <v>286</v>
      </c>
      <c r="G141" t="s">
        <v>1015</v>
      </c>
      <c r="H141" t="s">
        <v>40</v>
      </c>
      <c r="I141" s="4">
        <v>3437.651066826801</v>
      </c>
      <c r="J141">
        <v>446</v>
      </c>
      <c r="K141" t="s">
        <v>36</v>
      </c>
      <c r="L141" s="6">
        <v>45398</v>
      </c>
      <c r="M141" t="s">
        <v>53</v>
      </c>
      <c r="N141" t="s">
        <v>1747</v>
      </c>
      <c r="O141" t="s">
        <v>114</v>
      </c>
      <c r="P141">
        <v>23</v>
      </c>
      <c r="Q141" t="s">
        <v>47</v>
      </c>
    </row>
    <row r="142" spans="1:17">
      <c r="A142">
        <v>25</v>
      </c>
      <c r="B142" t="s">
        <v>137</v>
      </c>
      <c r="C142" t="s">
        <v>145</v>
      </c>
      <c r="D142" t="s">
        <v>32</v>
      </c>
      <c r="E142" s="6">
        <v>45356</v>
      </c>
      <c r="F142" t="s">
        <v>287</v>
      </c>
      <c r="G142" t="s">
        <v>1090</v>
      </c>
      <c r="H142" t="s">
        <v>40</v>
      </c>
      <c r="I142" s="4">
        <v>13219.98898274454</v>
      </c>
      <c r="J142">
        <v>205</v>
      </c>
      <c r="K142" t="s">
        <v>34</v>
      </c>
      <c r="L142" s="6">
        <v>45372</v>
      </c>
      <c r="M142" t="s">
        <v>50</v>
      </c>
      <c r="N142" t="s">
        <v>1747</v>
      </c>
      <c r="O142" t="s">
        <v>114</v>
      </c>
      <c r="P142">
        <v>16</v>
      </c>
      <c r="Q142" t="s">
        <v>45</v>
      </c>
    </row>
    <row r="143" spans="1:17">
      <c r="A143">
        <v>32</v>
      </c>
      <c r="B143" t="s">
        <v>137</v>
      </c>
      <c r="C143" t="s">
        <v>144</v>
      </c>
      <c r="D143" t="s">
        <v>32</v>
      </c>
      <c r="E143" s="6">
        <v>45362</v>
      </c>
      <c r="F143" t="s">
        <v>288</v>
      </c>
      <c r="G143" t="s">
        <v>1091</v>
      </c>
      <c r="H143" t="s">
        <v>41</v>
      </c>
      <c r="I143" s="4">
        <v>26709.46257694655</v>
      </c>
      <c r="J143">
        <v>453</v>
      </c>
      <c r="K143" t="s">
        <v>36</v>
      </c>
      <c r="L143" s="6">
        <v>45375</v>
      </c>
      <c r="M143" t="s">
        <v>53</v>
      </c>
      <c r="N143" t="s">
        <v>1746</v>
      </c>
      <c r="O143" t="s">
        <v>114</v>
      </c>
      <c r="P143">
        <v>13</v>
      </c>
      <c r="Q143" t="s">
        <v>45</v>
      </c>
    </row>
    <row r="144" spans="1:17">
      <c r="A144">
        <v>83</v>
      </c>
      <c r="B144" t="s">
        <v>138</v>
      </c>
      <c r="C144" t="s">
        <v>142</v>
      </c>
      <c r="D144" t="s">
        <v>31</v>
      </c>
      <c r="E144" s="6">
        <v>45382</v>
      </c>
      <c r="F144" t="s">
        <v>289</v>
      </c>
      <c r="G144" t="s">
        <v>1092</v>
      </c>
      <c r="H144" t="s">
        <v>39</v>
      </c>
      <c r="I144" s="4">
        <v>44432.57262911568</v>
      </c>
      <c r="J144">
        <v>404</v>
      </c>
      <c r="K144" t="s">
        <v>34</v>
      </c>
      <c r="L144" s="6">
        <v>45405</v>
      </c>
      <c r="M144" t="s">
        <v>54</v>
      </c>
      <c r="N144" t="s">
        <v>1746</v>
      </c>
      <c r="O144" t="s">
        <v>114</v>
      </c>
      <c r="P144">
        <v>23</v>
      </c>
      <c r="Q144" t="s">
        <v>48</v>
      </c>
    </row>
    <row r="145" spans="1:17">
      <c r="A145">
        <v>50</v>
      </c>
      <c r="B145" t="s">
        <v>138</v>
      </c>
      <c r="C145" t="s">
        <v>142</v>
      </c>
      <c r="D145" t="s">
        <v>32</v>
      </c>
      <c r="E145" s="6">
        <v>45377</v>
      </c>
      <c r="F145" t="s">
        <v>290</v>
      </c>
      <c r="G145" t="s">
        <v>1093</v>
      </c>
      <c r="H145" t="s">
        <v>41</v>
      </c>
      <c r="I145" s="4">
        <v>5513.616233328814</v>
      </c>
      <c r="J145">
        <v>207</v>
      </c>
      <c r="K145" t="s">
        <v>35</v>
      </c>
      <c r="L145" s="6">
        <v>45405</v>
      </c>
      <c r="M145" t="s">
        <v>53</v>
      </c>
      <c r="N145" t="s">
        <v>1746</v>
      </c>
      <c r="O145" t="s">
        <v>114</v>
      </c>
      <c r="P145">
        <v>28</v>
      </c>
      <c r="Q145" t="s">
        <v>46</v>
      </c>
    </row>
    <row r="146" spans="1:17">
      <c r="A146">
        <v>44</v>
      </c>
      <c r="B146" t="s">
        <v>137</v>
      </c>
      <c r="C146" t="s">
        <v>146</v>
      </c>
      <c r="D146" t="s">
        <v>27</v>
      </c>
      <c r="E146" s="6">
        <v>45356</v>
      </c>
      <c r="F146" t="s">
        <v>291</v>
      </c>
      <c r="G146" t="s">
        <v>1094</v>
      </c>
      <c r="H146" t="s">
        <v>39</v>
      </c>
      <c r="I146" s="4">
        <v>3497.798528128082</v>
      </c>
      <c r="J146">
        <v>362</v>
      </c>
      <c r="K146" t="s">
        <v>34</v>
      </c>
      <c r="L146" s="6">
        <v>45378</v>
      </c>
      <c r="M146" t="s">
        <v>54</v>
      </c>
      <c r="N146" t="s">
        <v>1746</v>
      </c>
      <c r="O146" t="s">
        <v>114</v>
      </c>
      <c r="P146">
        <v>22</v>
      </c>
      <c r="Q146" t="s">
        <v>46</v>
      </c>
    </row>
    <row r="147" spans="1:17">
      <c r="A147">
        <v>37</v>
      </c>
      <c r="B147" t="s">
        <v>138</v>
      </c>
      <c r="C147" t="s">
        <v>140</v>
      </c>
      <c r="D147" t="s">
        <v>30</v>
      </c>
      <c r="E147" s="6">
        <v>45374</v>
      </c>
      <c r="F147" t="s">
        <v>292</v>
      </c>
      <c r="G147" t="s">
        <v>1095</v>
      </c>
      <c r="H147" t="s">
        <v>39</v>
      </c>
      <c r="I147" s="4">
        <v>35417.60390857891</v>
      </c>
      <c r="J147">
        <v>367</v>
      </c>
      <c r="K147" t="s">
        <v>35</v>
      </c>
      <c r="L147" s="6">
        <v>45379</v>
      </c>
      <c r="M147" t="s">
        <v>50</v>
      </c>
      <c r="N147" t="s">
        <v>1746</v>
      </c>
      <c r="O147" t="s">
        <v>114</v>
      </c>
      <c r="P147">
        <v>5</v>
      </c>
      <c r="Q147" t="s">
        <v>46</v>
      </c>
    </row>
    <row r="148" spans="1:17">
      <c r="A148">
        <v>58</v>
      </c>
      <c r="B148" t="s">
        <v>137</v>
      </c>
      <c r="C148" t="s">
        <v>141</v>
      </c>
      <c r="D148" t="s">
        <v>29</v>
      </c>
      <c r="E148" s="6">
        <v>45352</v>
      </c>
      <c r="F148" t="s">
        <v>293</v>
      </c>
      <c r="G148" t="s">
        <v>1096</v>
      </c>
      <c r="H148" t="s">
        <v>40</v>
      </c>
      <c r="I148" s="4">
        <v>30188.92710843683</v>
      </c>
      <c r="J148">
        <v>334</v>
      </c>
      <c r="K148" t="s">
        <v>34</v>
      </c>
      <c r="L148" s="6">
        <v>45374</v>
      </c>
      <c r="M148" t="s">
        <v>52</v>
      </c>
      <c r="N148" t="s">
        <v>1747</v>
      </c>
      <c r="O148" t="s">
        <v>114</v>
      </c>
      <c r="P148">
        <v>22</v>
      </c>
      <c r="Q148" t="s">
        <v>47</v>
      </c>
    </row>
    <row r="149" spans="1:17">
      <c r="A149">
        <v>61</v>
      </c>
      <c r="B149" t="s">
        <v>137</v>
      </c>
      <c r="C149" t="s">
        <v>143</v>
      </c>
      <c r="D149" t="s">
        <v>31</v>
      </c>
      <c r="E149" s="6">
        <v>45372</v>
      </c>
      <c r="F149" t="s">
        <v>294</v>
      </c>
      <c r="G149" t="s">
        <v>1097</v>
      </c>
      <c r="H149" t="s">
        <v>39</v>
      </c>
      <c r="I149" s="4">
        <v>9421.445637014211</v>
      </c>
      <c r="J149">
        <v>490</v>
      </c>
      <c r="K149" t="s">
        <v>35</v>
      </c>
      <c r="L149" s="6">
        <v>45376</v>
      </c>
      <c r="M149" t="s">
        <v>51</v>
      </c>
      <c r="N149" t="s">
        <v>1748</v>
      </c>
      <c r="O149" t="s">
        <v>114</v>
      </c>
      <c r="P149">
        <v>4</v>
      </c>
      <c r="Q149" t="s">
        <v>47</v>
      </c>
    </row>
    <row r="150" spans="1:17">
      <c r="A150">
        <v>54</v>
      </c>
      <c r="B150" t="s">
        <v>137</v>
      </c>
      <c r="C150" t="s">
        <v>143</v>
      </c>
      <c r="D150" t="s">
        <v>28</v>
      </c>
      <c r="E150" s="6">
        <v>45364</v>
      </c>
      <c r="F150" t="s">
        <v>295</v>
      </c>
      <c r="G150" t="s">
        <v>1098</v>
      </c>
      <c r="H150" t="s">
        <v>41</v>
      </c>
      <c r="I150" s="4">
        <v>22324.56863367131</v>
      </c>
      <c r="J150">
        <v>315</v>
      </c>
      <c r="K150" t="s">
        <v>34</v>
      </c>
      <c r="L150" s="6">
        <v>45393</v>
      </c>
      <c r="M150" t="s">
        <v>53</v>
      </c>
      <c r="N150" t="s">
        <v>1746</v>
      </c>
      <c r="O150" t="s">
        <v>114</v>
      </c>
      <c r="P150">
        <v>29</v>
      </c>
      <c r="Q150" t="s">
        <v>47</v>
      </c>
    </row>
    <row r="151" spans="1:17">
      <c r="A151">
        <v>53</v>
      </c>
      <c r="B151" t="s">
        <v>138</v>
      </c>
      <c r="C151" t="s">
        <v>142</v>
      </c>
      <c r="D151" t="s">
        <v>27</v>
      </c>
      <c r="E151" s="6">
        <v>45382</v>
      </c>
      <c r="F151" t="s">
        <v>296</v>
      </c>
      <c r="G151" t="s">
        <v>1099</v>
      </c>
      <c r="H151" t="s">
        <v>38</v>
      </c>
      <c r="I151" s="4">
        <v>43460.93441633389</v>
      </c>
      <c r="J151">
        <v>260</v>
      </c>
      <c r="K151" t="s">
        <v>35</v>
      </c>
      <c r="L151" s="6">
        <v>45391</v>
      </c>
      <c r="M151" t="s">
        <v>53</v>
      </c>
      <c r="N151" t="s">
        <v>1746</v>
      </c>
      <c r="O151" t="s">
        <v>114</v>
      </c>
      <c r="P151">
        <v>9</v>
      </c>
      <c r="Q151" t="s">
        <v>47</v>
      </c>
    </row>
    <row r="152" spans="1:17">
      <c r="A152">
        <v>57</v>
      </c>
      <c r="B152" t="s">
        <v>137</v>
      </c>
      <c r="C152" t="s">
        <v>143</v>
      </c>
      <c r="D152" t="s">
        <v>32</v>
      </c>
      <c r="E152" s="6">
        <v>45363</v>
      </c>
      <c r="F152" t="s">
        <v>297</v>
      </c>
      <c r="G152" t="s">
        <v>1100</v>
      </c>
      <c r="H152" t="s">
        <v>42</v>
      </c>
      <c r="I152" s="4">
        <v>32885.93446309053</v>
      </c>
      <c r="J152">
        <v>221</v>
      </c>
      <c r="K152" t="s">
        <v>36</v>
      </c>
      <c r="L152" s="6">
        <v>45364</v>
      </c>
      <c r="M152" t="s">
        <v>52</v>
      </c>
      <c r="N152" t="s">
        <v>1747</v>
      </c>
      <c r="O152" t="s">
        <v>114</v>
      </c>
      <c r="P152">
        <v>1</v>
      </c>
      <c r="Q152" t="s">
        <v>47</v>
      </c>
    </row>
    <row r="153" spans="1:17">
      <c r="A153">
        <v>44</v>
      </c>
      <c r="B153" t="s">
        <v>138</v>
      </c>
      <c r="C153" t="s">
        <v>142</v>
      </c>
      <c r="D153" t="s">
        <v>29</v>
      </c>
      <c r="E153" s="6">
        <v>45358</v>
      </c>
      <c r="F153" t="s">
        <v>298</v>
      </c>
      <c r="G153" t="s">
        <v>1101</v>
      </c>
      <c r="H153" t="s">
        <v>38</v>
      </c>
      <c r="I153" s="4">
        <v>16406.62987274527</v>
      </c>
      <c r="J153">
        <v>450</v>
      </c>
      <c r="K153" t="s">
        <v>36</v>
      </c>
      <c r="L153" s="6">
        <v>45383</v>
      </c>
      <c r="M153" t="s">
        <v>51</v>
      </c>
      <c r="N153" t="s">
        <v>1747</v>
      </c>
      <c r="O153" t="s">
        <v>114</v>
      </c>
      <c r="P153">
        <v>25</v>
      </c>
      <c r="Q153" t="s">
        <v>46</v>
      </c>
    </row>
    <row r="154" spans="1:17">
      <c r="A154">
        <v>26</v>
      </c>
      <c r="B154" t="s">
        <v>137</v>
      </c>
      <c r="C154" t="s">
        <v>139</v>
      </c>
      <c r="D154" t="s">
        <v>32</v>
      </c>
      <c r="E154" s="6">
        <v>45377</v>
      </c>
      <c r="F154" t="s">
        <v>299</v>
      </c>
      <c r="G154" t="s">
        <v>1102</v>
      </c>
      <c r="H154" t="s">
        <v>39</v>
      </c>
      <c r="I154" s="4">
        <v>9562.3685254868</v>
      </c>
      <c r="J154">
        <v>208</v>
      </c>
      <c r="K154" t="s">
        <v>34</v>
      </c>
      <c r="L154" s="6">
        <v>45391</v>
      </c>
      <c r="M154" t="s">
        <v>54</v>
      </c>
      <c r="N154" t="s">
        <v>1748</v>
      </c>
      <c r="O154" t="s">
        <v>114</v>
      </c>
      <c r="P154">
        <v>14</v>
      </c>
      <c r="Q154" t="s">
        <v>45</v>
      </c>
    </row>
    <row r="155" spans="1:17">
      <c r="A155">
        <v>72</v>
      </c>
      <c r="B155" t="s">
        <v>137</v>
      </c>
      <c r="C155" t="s">
        <v>143</v>
      </c>
      <c r="D155" t="s">
        <v>31</v>
      </c>
      <c r="E155" s="6">
        <v>45380</v>
      </c>
      <c r="F155" t="s">
        <v>300</v>
      </c>
      <c r="G155" t="s">
        <v>1103</v>
      </c>
      <c r="H155" t="s">
        <v>41</v>
      </c>
      <c r="I155" s="4">
        <v>25582.36510571344</v>
      </c>
      <c r="J155">
        <v>435</v>
      </c>
      <c r="K155" t="s">
        <v>36</v>
      </c>
      <c r="L155" s="6">
        <v>45400</v>
      </c>
      <c r="M155" t="s">
        <v>53</v>
      </c>
      <c r="N155" t="s">
        <v>1748</v>
      </c>
      <c r="O155" t="s">
        <v>114</v>
      </c>
      <c r="P155">
        <v>20</v>
      </c>
      <c r="Q155" t="s">
        <v>48</v>
      </c>
    </row>
    <row r="156" spans="1:17">
      <c r="A156">
        <v>24</v>
      </c>
      <c r="B156" t="s">
        <v>137</v>
      </c>
      <c r="C156" t="s">
        <v>140</v>
      </c>
      <c r="D156" t="s">
        <v>27</v>
      </c>
      <c r="E156" s="6">
        <v>45366</v>
      </c>
      <c r="F156" t="s">
        <v>301</v>
      </c>
      <c r="G156" t="s">
        <v>1104</v>
      </c>
      <c r="H156" t="s">
        <v>39</v>
      </c>
      <c r="I156" s="4">
        <v>3117.526010528628</v>
      </c>
      <c r="J156">
        <v>374</v>
      </c>
      <c r="K156" t="s">
        <v>34</v>
      </c>
      <c r="L156" s="6">
        <v>45387</v>
      </c>
      <c r="M156" t="s">
        <v>53</v>
      </c>
      <c r="N156" t="s">
        <v>1748</v>
      </c>
      <c r="O156" t="s">
        <v>114</v>
      </c>
      <c r="P156">
        <v>21</v>
      </c>
      <c r="Q156" t="s">
        <v>45</v>
      </c>
    </row>
    <row r="157" spans="1:17">
      <c r="A157">
        <v>25</v>
      </c>
      <c r="B157" t="s">
        <v>138</v>
      </c>
      <c r="C157" t="s">
        <v>140</v>
      </c>
      <c r="D157" t="s">
        <v>29</v>
      </c>
      <c r="E157" s="6">
        <v>45364</v>
      </c>
      <c r="F157" t="s">
        <v>302</v>
      </c>
      <c r="G157" t="s">
        <v>1105</v>
      </c>
      <c r="H157" t="s">
        <v>39</v>
      </c>
      <c r="I157" s="4">
        <v>44182.88840231296</v>
      </c>
      <c r="J157">
        <v>139</v>
      </c>
      <c r="K157" t="s">
        <v>35</v>
      </c>
      <c r="L157" s="6">
        <v>45389</v>
      </c>
      <c r="M157" t="s">
        <v>54</v>
      </c>
      <c r="N157" t="s">
        <v>1748</v>
      </c>
      <c r="O157" t="s">
        <v>114</v>
      </c>
      <c r="P157">
        <v>25</v>
      </c>
      <c r="Q157" t="s">
        <v>45</v>
      </c>
    </row>
    <row r="158" spans="1:17">
      <c r="A158">
        <v>56</v>
      </c>
      <c r="B158" t="s">
        <v>137</v>
      </c>
      <c r="C158" t="s">
        <v>139</v>
      </c>
      <c r="D158" t="s">
        <v>30</v>
      </c>
      <c r="E158" s="6">
        <v>45360</v>
      </c>
      <c r="F158" t="s">
        <v>303</v>
      </c>
      <c r="G158" t="s">
        <v>1106</v>
      </c>
      <c r="H158" t="s">
        <v>41</v>
      </c>
      <c r="I158" s="4">
        <v>50441.62869710699</v>
      </c>
      <c r="J158">
        <v>402</v>
      </c>
      <c r="K158" t="s">
        <v>36</v>
      </c>
      <c r="L158" s="6">
        <v>45367</v>
      </c>
      <c r="M158" t="s">
        <v>53</v>
      </c>
      <c r="N158" t="s">
        <v>1748</v>
      </c>
      <c r="O158" t="s">
        <v>114</v>
      </c>
      <c r="P158">
        <v>7</v>
      </c>
      <c r="Q158" t="s">
        <v>47</v>
      </c>
    </row>
    <row r="159" spans="1:17">
      <c r="A159">
        <v>54</v>
      </c>
      <c r="B159" t="s">
        <v>138</v>
      </c>
      <c r="C159" t="s">
        <v>141</v>
      </c>
      <c r="D159" t="s">
        <v>30</v>
      </c>
      <c r="E159" s="6">
        <v>45361</v>
      </c>
      <c r="F159" t="s">
        <v>304</v>
      </c>
      <c r="G159" t="s">
        <v>1107</v>
      </c>
      <c r="H159" t="s">
        <v>38</v>
      </c>
      <c r="I159" s="4">
        <v>19044.60951627192</v>
      </c>
      <c r="J159">
        <v>171</v>
      </c>
      <c r="K159" t="s">
        <v>36</v>
      </c>
      <c r="L159" s="6">
        <v>45375</v>
      </c>
      <c r="M159" t="s">
        <v>51</v>
      </c>
      <c r="N159" t="s">
        <v>1747</v>
      </c>
      <c r="O159" t="s">
        <v>114</v>
      </c>
      <c r="P159">
        <v>14</v>
      </c>
      <c r="Q159" t="s">
        <v>47</v>
      </c>
    </row>
    <row r="160" spans="1:17">
      <c r="A160">
        <v>36</v>
      </c>
      <c r="B160" t="s">
        <v>137</v>
      </c>
      <c r="C160" t="s">
        <v>141</v>
      </c>
      <c r="D160" t="s">
        <v>27</v>
      </c>
      <c r="E160" s="6">
        <v>45363</v>
      </c>
      <c r="F160" t="s">
        <v>305</v>
      </c>
      <c r="G160" t="s">
        <v>1108</v>
      </c>
      <c r="H160" t="s">
        <v>40</v>
      </c>
      <c r="I160" s="4">
        <v>12977.65915301614</v>
      </c>
      <c r="J160">
        <v>182</v>
      </c>
      <c r="K160" t="s">
        <v>36</v>
      </c>
      <c r="L160" s="6">
        <v>45379</v>
      </c>
      <c r="M160" t="s">
        <v>54</v>
      </c>
      <c r="N160" t="s">
        <v>1748</v>
      </c>
      <c r="O160" t="s">
        <v>114</v>
      </c>
      <c r="P160">
        <v>16</v>
      </c>
      <c r="Q160" t="s">
        <v>46</v>
      </c>
    </row>
    <row r="161" spans="1:17">
      <c r="A161">
        <v>83</v>
      </c>
      <c r="B161" t="s">
        <v>138</v>
      </c>
      <c r="C161" t="s">
        <v>146</v>
      </c>
      <c r="D161" t="s">
        <v>31</v>
      </c>
      <c r="E161" s="6">
        <v>45380</v>
      </c>
      <c r="F161" t="s">
        <v>306</v>
      </c>
      <c r="G161" t="s">
        <v>1109</v>
      </c>
      <c r="H161" t="s">
        <v>39</v>
      </c>
      <c r="I161" s="4">
        <v>37077.90000207027</v>
      </c>
      <c r="J161">
        <v>117</v>
      </c>
      <c r="K161" t="s">
        <v>35</v>
      </c>
      <c r="L161" s="6">
        <v>45388</v>
      </c>
      <c r="M161" t="s">
        <v>53</v>
      </c>
      <c r="N161" t="s">
        <v>1748</v>
      </c>
      <c r="O161" t="s">
        <v>114</v>
      </c>
      <c r="P161">
        <v>8</v>
      </c>
      <c r="Q161" t="s">
        <v>48</v>
      </c>
    </row>
    <row r="162" spans="1:17">
      <c r="A162">
        <v>73</v>
      </c>
      <c r="B162" t="s">
        <v>137</v>
      </c>
      <c r="C162" t="s">
        <v>142</v>
      </c>
      <c r="D162" t="s">
        <v>32</v>
      </c>
      <c r="E162" s="6">
        <v>45360</v>
      </c>
      <c r="F162" t="s">
        <v>307</v>
      </c>
      <c r="G162" t="s">
        <v>1110</v>
      </c>
      <c r="H162" t="s">
        <v>38</v>
      </c>
      <c r="I162" s="4">
        <v>20280.56847163054</v>
      </c>
      <c r="J162">
        <v>313</v>
      </c>
      <c r="K162" t="s">
        <v>36</v>
      </c>
      <c r="L162" s="6">
        <v>45373</v>
      </c>
      <c r="M162" t="s">
        <v>51</v>
      </c>
      <c r="N162" t="s">
        <v>1746</v>
      </c>
      <c r="O162" t="s">
        <v>114</v>
      </c>
      <c r="P162">
        <v>13</v>
      </c>
      <c r="Q162" t="s">
        <v>48</v>
      </c>
    </row>
    <row r="163" spans="1:17">
      <c r="A163">
        <v>81</v>
      </c>
      <c r="B163" t="s">
        <v>138</v>
      </c>
      <c r="C163" t="s">
        <v>146</v>
      </c>
      <c r="D163" t="s">
        <v>28</v>
      </c>
      <c r="E163" s="6">
        <v>45372</v>
      </c>
      <c r="F163" t="s">
        <v>308</v>
      </c>
      <c r="G163" t="s">
        <v>1111</v>
      </c>
      <c r="H163" t="s">
        <v>40</v>
      </c>
      <c r="I163" s="4">
        <v>13419.55990247621</v>
      </c>
      <c r="J163">
        <v>428</v>
      </c>
      <c r="K163" t="s">
        <v>34</v>
      </c>
      <c r="L163" s="6">
        <v>45376</v>
      </c>
      <c r="M163" t="s">
        <v>54</v>
      </c>
      <c r="N163" t="s">
        <v>1746</v>
      </c>
      <c r="O163" t="s">
        <v>114</v>
      </c>
      <c r="P163">
        <v>4</v>
      </c>
      <c r="Q163" t="s">
        <v>48</v>
      </c>
    </row>
    <row r="164" spans="1:17">
      <c r="A164">
        <v>76</v>
      </c>
      <c r="B164" t="s">
        <v>137</v>
      </c>
      <c r="C164" t="s">
        <v>140</v>
      </c>
      <c r="D164" t="s">
        <v>29</v>
      </c>
      <c r="E164" s="6">
        <v>45367</v>
      </c>
      <c r="F164" t="s">
        <v>309</v>
      </c>
      <c r="G164" t="s">
        <v>1112</v>
      </c>
      <c r="H164" t="s">
        <v>40</v>
      </c>
      <c r="I164" s="4">
        <v>36588.69139499276</v>
      </c>
      <c r="J164">
        <v>271</v>
      </c>
      <c r="K164" t="s">
        <v>36</v>
      </c>
      <c r="L164" s="6">
        <v>45371</v>
      </c>
      <c r="M164" t="s">
        <v>53</v>
      </c>
      <c r="N164" t="s">
        <v>1746</v>
      </c>
      <c r="O164" t="s">
        <v>114</v>
      </c>
      <c r="P164">
        <v>4</v>
      </c>
      <c r="Q164" t="s">
        <v>48</v>
      </c>
    </row>
    <row r="165" spans="1:17">
      <c r="A165">
        <v>23</v>
      </c>
      <c r="B165" t="s">
        <v>138</v>
      </c>
      <c r="C165" t="s">
        <v>145</v>
      </c>
      <c r="D165" t="s">
        <v>28</v>
      </c>
      <c r="E165" s="6">
        <v>45362</v>
      </c>
      <c r="F165" t="s">
        <v>310</v>
      </c>
      <c r="G165" t="s">
        <v>1113</v>
      </c>
      <c r="H165" t="s">
        <v>42</v>
      </c>
      <c r="I165" s="4">
        <v>23036.90720600382</v>
      </c>
      <c r="J165">
        <v>415</v>
      </c>
      <c r="K165" t="s">
        <v>34</v>
      </c>
      <c r="L165" s="6">
        <v>45381</v>
      </c>
      <c r="M165" t="s">
        <v>50</v>
      </c>
      <c r="N165" t="s">
        <v>1746</v>
      </c>
      <c r="O165" t="s">
        <v>114</v>
      </c>
      <c r="P165">
        <v>19</v>
      </c>
      <c r="Q165" t="s">
        <v>45</v>
      </c>
    </row>
    <row r="166" spans="1:17">
      <c r="A166">
        <v>68</v>
      </c>
      <c r="B166" t="s">
        <v>138</v>
      </c>
      <c r="C166" t="s">
        <v>143</v>
      </c>
      <c r="D166" t="s">
        <v>32</v>
      </c>
      <c r="E166" s="6">
        <v>45365</v>
      </c>
      <c r="F166" t="s">
        <v>311</v>
      </c>
      <c r="G166" t="s">
        <v>1114</v>
      </c>
      <c r="H166" t="s">
        <v>42</v>
      </c>
      <c r="I166" s="4">
        <v>31175.7555603503</v>
      </c>
      <c r="J166">
        <v>127</v>
      </c>
      <c r="K166" t="s">
        <v>35</v>
      </c>
      <c r="L166" s="6">
        <v>45385</v>
      </c>
      <c r="M166" t="s">
        <v>51</v>
      </c>
      <c r="N166" t="s">
        <v>1748</v>
      </c>
      <c r="O166" t="s">
        <v>114</v>
      </c>
      <c r="P166">
        <v>20</v>
      </c>
      <c r="Q166" t="s">
        <v>48</v>
      </c>
    </row>
    <row r="167" spans="1:17">
      <c r="A167">
        <v>63</v>
      </c>
      <c r="B167" t="s">
        <v>138</v>
      </c>
      <c r="C167" t="s">
        <v>140</v>
      </c>
      <c r="D167" t="s">
        <v>27</v>
      </c>
      <c r="E167" s="6">
        <v>45359</v>
      </c>
      <c r="F167" t="s">
        <v>312</v>
      </c>
      <c r="G167" t="s">
        <v>1115</v>
      </c>
      <c r="H167" t="s">
        <v>41</v>
      </c>
      <c r="I167" s="4">
        <v>9395.438333910051</v>
      </c>
      <c r="J167">
        <v>188</v>
      </c>
      <c r="K167" t="s">
        <v>34</v>
      </c>
      <c r="L167" s="6">
        <v>45379</v>
      </c>
      <c r="M167" t="s">
        <v>54</v>
      </c>
      <c r="N167" t="s">
        <v>1746</v>
      </c>
      <c r="O167" t="s">
        <v>114</v>
      </c>
      <c r="P167">
        <v>20</v>
      </c>
      <c r="Q167" t="s">
        <v>47</v>
      </c>
    </row>
    <row r="168" spans="1:17">
      <c r="A168">
        <v>19</v>
      </c>
      <c r="B168" t="s">
        <v>138</v>
      </c>
      <c r="C168" t="s">
        <v>142</v>
      </c>
      <c r="D168" t="s">
        <v>27</v>
      </c>
      <c r="E168" s="6">
        <v>45372</v>
      </c>
      <c r="F168" t="s">
        <v>313</v>
      </c>
      <c r="G168" t="s">
        <v>1116</v>
      </c>
      <c r="H168" t="s">
        <v>39</v>
      </c>
      <c r="I168" s="4">
        <v>45509.63332783596</v>
      </c>
      <c r="J168">
        <v>337</v>
      </c>
      <c r="K168" t="s">
        <v>36</v>
      </c>
      <c r="L168" s="6">
        <v>45389</v>
      </c>
      <c r="M168" t="s">
        <v>53</v>
      </c>
      <c r="N168" t="s">
        <v>1747</v>
      </c>
      <c r="O168" t="s">
        <v>114</v>
      </c>
      <c r="P168">
        <v>17</v>
      </c>
      <c r="Q168" t="s">
        <v>45</v>
      </c>
    </row>
    <row r="169" spans="1:17">
      <c r="A169">
        <v>34</v>
      </c>
      <c r="B169" t="s">
        <v>137</v>
      </c>
      <c r="C169" t="s">
        <v>143</v>
      </c>
      <c r="D169" t="s">
        <v>28</v>
      </c>
      <c r="E169" s="6">
        <v>45372</v>
      </c>
      <c r="F169" t="s">
        <v>314</v>
      </c>
      <c r="G169" t="s">
        <v>1117</v>
      </c>
      <c r="H169" t="s">
        <v>41</v>
      </c>
      <c r="I169" s="4">
        <v>22284.10631239419</v>
      </c>
      <c r="J169">
        <v>304</v>
      </c>
      <c r="K169" t="s">
        <v>35</v>
      </c>
      <c r="L169" s="6">
        <v>45401</v>
      </c>
      <c r="M169" t="s">
        <v>54</v>
      </c>
      <c r="N169" t="s">
        <v>1746</v>
      </c>
      <c r="O169" t="s">
        <v>114</v>
      </c>
      <c r="P169">
        <v>29</v>
      </c>
      <c r="Q169" t="s">
        <v>45</v>
      </c>
    </row>
    <row r="170" spans="1:17">
      <c r="A170">
        <v>26</v>
      </c>
      <c r="B170" t="s">
        <v>138</v>
      </c>
      <c r="C170" t="s">
        <v>145</v>
      </c>
      <c r="D170" t="s">
        <v>30</v>
      </c>
      <c r="E170" s="6">
        <v>45362</v>
      </c>
      <c r="F170" t="s">
        <v>315</v>
      </c>
      <c r="G170" t="s">
        <v>1118</v>
      </c>
      <c r="H170" t="s">
        <v>40</v>
      </c>
      <c r="I170" s="4">
        <v>42393.74184032071</v>
      </c>
      <c r="J170">
        <v>144</v>
      </c>
      <c r="K170" t="s">
        <v>36</v>
      </c>
      <c r="L170" s="6">
        <v>45382</v>
      </c>
      <c r="M170" t="s">
        <v>53</v>
      </c>
      <c r="N170" t="s">
        <v>1748</v>
      </c>
      <c r="O170" t="s">
        <v>114</v>
      </c>
      <c r="P170">
        <v>20</v>
      </c>
      <c r="Q170" t="s">
        <v>45</v>
      </c>
    </row>
    <row r="171" spans="1:17">
      <c r="A171">
        <v>37</v>
      </c>
      <c r="B171" t="s">
        <v>137</v>
      </c>
      <c r="C171" t="s">
        <v>144</v>
      </c>
      <c r="D171" t="s">
        <v>28</v>
      </c>
      <c r="E171" s="6">
        <v>45373</v>
      </c>
      <c r="F171" t="s">
        <v>316</v>
      </c>
      <c r="G171" t="s">
        <v>1119</v>
      </c>
      <c r="H171" t="s">
        <v>41</v>
      </c>
      <c r="I171" s="4">
        <v>15545.0690462948</v>
      </c>
      <c r="J171">
        <v>239</v>
      </c>
      <c r="K171" t="s">
        <v>36</v>
      </c>
      <c r="L171" s="6">
        <v>45381</v>
      </c>
      <c r="M171" t="s">
        <v>50</v>
      </c>
      <c r="N171" t="s">
        <v>1746</v>
      </c>
      <c r="O171" t="s">
        <v>114</v>
      </c>
      <c r="P171">
        <v>8</v>
      </c>
      <c r="Q171" t="s">
        <v>46</v>
      </c>
    </row>
    <row r="172" spans="1:17">
      <c r="A172">
        <v>85</v>
      </c>
      <c r="B172" t="s">
        <v>137</v>
      </c>
      <c r="C172" t="s">
        <v>141</v>
      </c>
      <c r="D172" t="s">
        <v>30</v>
      </c>
      <c r="E172" s="6">
        <v>45365</v>
      </c>
      <c r="F172" t="s">
        <v>317</v>
      </c>
      <c r="G172" t="s">
        <v>1120</v>
      </c>
      <c r="H172" t="s">
        <v>38</v>
      </c>
      <c r="I172" s="4">
        <v>47591.71172881549</v>
      </c>
      <c r="J172">
        <v>379</v>
      </c>
      <c r="K172" t="s">
        <v>35</v>
      </c>
      <c r="L172" s="6">
        <v>45390</v>
      </c>
      <c r="M172" t="s">
        <v>52</v>
      </c>
      <c r="N172" t="s">
        <v>1746</v>
      </c>
      <c r="O172" t="s">
        <v>114</v>
      </c>
      <c r="P172">
        <v>25</v>
      </c>
      <c r="Q172" t="s">
        <v>48</v>
      </c>
    </row>
    <row r="173" spans="1:17">
      <c r="A173">
        <v>56</v>
      </c>
      <c r="B173" t="s">
        <v>138</v>
      </c>
      <c r="C173" t="s">
        <v>142</v>
      </c>
      <c r="D173" t="s">
        <v>28</v>
      </c>
      <c r="E173" s="6">
        <v>45367</v>
      </c>
      <c r="F173" t="s">
        <v>318</v>
      </c>
      <c r="G173" t="s">
        <v>1121</v>
      </c>
      <c r="H173" t="s">
        <v>42</v>
      </c>
      <c r="I173" s="4">
        <v>48161.18162136744</v>
      </c>
      <c r="J173">
        <v>214</v>
      </c>
      <c r="K173" t="s">
        <v>35</v>
      </c>
      <c r="L173" s="6">
        <v>45376</v>
      </c>
      <c r="M173" t="s">
        <v>53</v>
      </c>
      <c r="N173" t="s">
        <v>1748</v>
      </c>
      <c r="O173" t="s">
        <v>114</v>
      </c>
      <c r="P173">
        <v>9</v>
      </c>
      <c r="Q173" t="s">
        <v>47</v>
      </c>
    </row>
    <row r="174" spans="1:17">
      <c r="A174">
        <v>50</v>
      </c>
      <c r="B174" t="s">
        <v>138</v>
      </c>
      <c r="C174" t="s">
        <v>141</v>
      </c>
      <c r="D174" t="s">
        <v>29</v>
      </c>
      <c r="E174" s="6">
        <v>45364</v>
      </c>
      <c r="F174" t="s">
        <v>319</v>
      </c>
      <c r="G174" t="s">
        <v>1122</v>
      </c>
      <c r="H174" t="s">
        <v>38</v>
      </c>
      <c r="I174" s="4">
        <v>24867.77772991242</v>
      </c>
      <c r="J174">
        <v>488</v>
      </c>
      <c r="K174" t="s">
        <v>34</v>
      </c>
      <c r="L174" s="6">
        <v>45384</v>
      </c>
      <c r="M174" t="s">
        <v>51</v>
      </c>
      <c r="N174" t="s">
        <v>1747</v>
      </c>
      <c r="O174" t="s">
        <v>114</v>
      </c>
      <c r="P174">
        <v>20</v>
      </c>
      <c r="Q174" t="s">
        <v>46</v>
      </c>
    </row>
    <row r="175" spans="1:17">
      <c r="A175">
        <v>43</v>
      </c>
      <c r="B175" t="s">
        <v>138</v>
      </c>
      <c r="C175" t="s">
        <v>144</v>
      </c>
      <c r="D175" t="s">
        <v>27</v>
      </c>
      <c r="E175" s="6">
        <v>45371</v>
      </c>
      <c r="F175" t="s">
        <v>320</v>
      </c>
      <c r="G175" t="s">
        <v>1123</v>
      </c>
      <c r="H175" t="s">
        <v>40</v>
      </c>
      <c r="I175" s="4">
        <v>41217.41337183482</v>
      </c>
      <c r="J175">
        <v>483</v>
      </c>
      <c r="K175" t="s">
        <v>35</v>
      </c>
      <c r="L175" s="6">
        <v>45377</v>
      </c>
      <c r="M175" t="s">
        <v>52</v>
      </c>
      <c r="N175" t="s">
        <v>1746</v>
      </c>
      <c r="O175" t="s">
        <v>114</v>
      </c>
      <c r="P175">
        <v>6</v>
      </c>
      <c r="Q175" t="s">
        <v>46</v>
      </c>
    </row>
    <row r="176" spans="1:17">
      <c r="A176">
        <v>21</v>
      </c>
      <c r="B176" t="s">
        <v>138</v>
      </c>
      <c r="C176" t="s">
        <v>139</v>
      </c>
      <c r="D176" t="s">
        <v>30</v>
      </c>
      <c r="E176" s="6">
        <v>45366</v>
      </c>
      <c r="F176" t="s">
        <v>321</v>
      </c>
      <c r="G176" t="s">
        <v>1124</v>
      </c>
      <c r="H176" t="s">
        <v>41</v>
      </c>
      <c r="I176" s="4">
        <v>21444.80885384693</v>
      </c>
      <c r="J176">
        <v>224</v>
      </c>
      <c r="K176" t="s">
        <v>35</v>
      </c>
      <c r="L176" s="6">
        <v>45395</v>
      </c>
      <c r="M176" t="s">
        <v>53</v>
      </c>
      <c r="N176" t="s">
        <v>1748</v>
      </c>
      <c r="O176" t="s">
        <v>114</v>
      </c>
      <c r="P176">
        <v>29</v>
      </c>
      <c r="Q176" t="s">
        <v>45</v>
      </c>
    </row>
    <row r="177" spans="1:17">
      <c r="A177">
        <v>42</v>
      </c>
      <c r="B177" t="s">
        <v>138</v>
      </c>
      <c r="C177" t="s">
        <v>142</v>
      </c>
      <c r="D177" t="s">
        <v>27</v>
      </c>
      <c r="E177" s="6">
        <v>45358</v>
      </c>
      <c r="F177" t="s">
        <v>322</v>
      </c>
      <c r="G177" t="s">
        <v>1125</v>
      </c>
      <c r="H177" t="s">
        <v>40</v>
      </c>
      <c r="I177" s="4">
        <v>11331.79766197166</v>
      </c>
      <c r="J177">
        <v>246</v>
      </c>
      <c r="K177" t="s">
        <v>35</v>
      </c>
      <c r="L177" s="6">
        <v>45385</v>
      </c>
      <c r="M177" t="s">
        <v>50</v>
      </c>
      <c r="N177" t="s">
        <v>1748</v>
      </c>
      <c r="O177" t="s">
        <v>114</v>
      </c>
      <c r="P177">
        <v>27</v>
      </c>
      <c r="Q177" t="s">
        <v>46</v>
      </c>
    </row>
    <row r="178" spans="1:17">
      <c r="A178">
        <v>78</v>
      </c>
      <c r="B178" t="s">
        <v>138</v>
      </c>
      <c r="C178" t="s">
        <v>141</v>
      </c>
      <c r="D178" t="s">
        <v>29</v>
      </c>
      <c r="E178" s="6">
        <v>45353</v>
      </c>
      <c r="F178" t="s">
        <v>323</v>
      </c>
      <c r="G178" t="s">
        <v>1126</v>
      </c>
      <c r="H178" t="s">
        <v>40</v>
      </c>
      <c r="I178" s="4">
        <v>34727.61888657616</v>
      </c>
      <c r="J178">
        <v>229</v>
      </c>
      <c r="K178" t="s">
        <v>36</v>
      </c>
      <c r="L178" s="6">
        <v>45368</v>
      </c>
      <c r="M178" t="s">
        <v>53</v>
      </c>
      <c r="N178" t="s">
        <v>1747</v>
      </c>
      <c r="O178" t="s">
        <v>114</v>
      </c>
      <c r="P178">
        <v>15</v>
      </c>
      <c r="Q178" t="s">
        <v>48</v>
      </c>
    </row>
    <row r="179" spans="1:17">
      <c r="A179">
        <v>67</v>
      </c>
      <c r="B179" t="s">
        <v>138</v>
      </c>
      <c r="C179" t="s">
        <v>140</v>
      </c>
      <c r="D179" t="s">
        <v>29</v>
      </c>
      <c r="E179" s="6">
        <v>45367</v>
      </c>
      <c r="F179" t="s">
        <v>324</v>
      </c>
      <c r="G179" t="s">
        <v>1127</v>
      </c>
      <c r="H179" t="s">
        <v>39</v>
      </c>
      <c r="I179" s="4">
        <v>22613.4552355846</v>
      </c>
      <c r="J179">
        <v>199</v>
      </c>
      <c r="K179" t="s">
        <v>34</v>
      </c>
      <c r="L179" s="6">
        <v>45391</v>
      </c>
      <c r="M179" t="s">
        <v>52</v>
      </c>
      <c r="N179" t="s">
        <v>1748</v>
      </c>
      <c r="O179" t="s">
        <v>114</v>
      </c>
      <c r="P179">
        <v>24</v>
      </c>
      <c r="Q179" t="s">
        <v>48</v>
      </c>
    </row>
    <row r="180" spans="1:17">
      <c r="A180">
        <v>33</v>
      </c>
      <c r="B180" t="s">
        <v>138</v>
      </c>
      <c r="C180" t="s">
        <v>140</v>
      </c>
      <c r="D180" t="s">
        <v>28</v>
      </c>
      <c r="E180" s="6">
        <v>45360</v>
      </c>
      <c r="F180" t="s">
        <v>325</v>
      </c>
      <c r="G180" t="s">
        <v>1128</v>
      </c>
      <c r="H180" t="s">
        <v>39</v>
      </c>
      <c r="I180" s="4">
        <v>27184.10746079261</v>
      </c>
      <c r="J180">
        <v>289</v>
      </c>
      <c r="K180" t="s">
        <v>35</v>
      </c>
      <c r="L180" s="6">
        <v>45390</v>
      </c>
      <c r="M180" t="s">
        <v>53</v>
      </c>
      <c r="N180" t="s">
        <v>1747</v>
      </c>
      <c r="O180" t="s">
        <v>114</v>
      </c>
      <c r="P180">
        <v>30</v>
      </c>
      <c r="Q180" t="s">
        <v>45</v>
      </c>
    </row>
    <row r="181" spans="1:17">
      <c r="A181">
        <v>49</v>
      </c>
      <c r="B181" t="s">
        <v>138</v>
      </c>
      <c r="C181" t="s">
        <v>146</v>
      </c>
      <c r="D181" t="s">
        <v>27</v>
      </c>
      <c r="E181" s="6">
        <v>45375</v>
      </c>
      <c r="F181" t="s">
        <v>326</v>
      </c>
      <c r="G181" t="s">
        <v>1129</v>
      </c>
      <c r="H181" t="s">
        <v>38</v>
      </c>
      <c r="I181" s="4">
        <v>20504.25087051177</v>
      </c>
      <c r="J181">
        <v>362</v>
      </c>
      <c r="K181" t="s">
        <v>34</v>
      </c>
      <c r="L181" s="6">
        <v>45377</v>
      </c>
      <c r="M181" t="s">
        <v>54</v>
      </c>
      <c r="N181" t="s">
        <v>1747</v>
      </c>
      <c r="O181" t="s">
        <v>114</v>
      </c>
      <c r="P181">
        <v>2</v>
      </c>
      <c r="Q181" t="s">
        <v>46</v>
      </c>
    </row>
    <row r="182" spans="1:17">
      <c r="A182">
        <v>36</v>
      </c>
      <c r="B182" t="s">
        <v>138</v>
      </c>
      <c r="C182" t="s">
        <v>143</v>
      </c>
      <c r="D182" t="s">
        <v>27</v>
      </c>
      <c r="E182" s="6">
        <v>45356</v>
      </c>
      <c r="F182" t="s">
        <v>327</v>
      </c>
      <c r="G182" t="s">
        <v>1130</v>
      </c>
      <c r="H182" t="s">
        <v>42</v>
      </c>
      <c r="I182" s="4">
        <v>20163.40673934974</v>
      </c>
      <c r="J182">
        <v>430</v>
      </c>
      <c r="K182" t="s">
        <v>34</v>
      </c>
      <c r="L182" s="6">
        <v>45359</v>
      </c>
      <c r="M182" t="s">
        <v>50</v>
      </c>
      <c r="N182" t="s">
        <v>1746</v>
      </c>
      <c r="O182" t="s">
        <v>114</v>
      </c>
      <c r="P182">
        <v>3</v>
      </c>
      <c r="Q182" t="s">
        <v>46</v>
      </c>
    </row>
    <row r="183" spans="1:17">
      <c r="A183">
        <v>79</v>
      </c>
      <c r="B183" t="s">
        <v>138</v>
      </c>
      <c r="C183" t="s">
        <v>145</v>
      </c>
      <c r="D183" t="s">
        <v>28</v>
      </c>
      <c r="E183" s="6">
        <v>45354</v>
      </c>
      <c r="F183" t="s">
        <v>328</v>
      </c>
      <c r="G183" t="s">
        <v>1131</v>
      </c>
      <c r="H183" t="s">
        <v>42</v>
      </c>
      <c r="I183" s="4">
        <v>2114.206153394968</v>
      </c>
      <c r="J183">
        <v>470</v>
      </c>
      <c r="K183" t="s">
        <v>34</v>
      </c>
      <c r="L183" s="6">
        <v>45365</v>
      </c>
      <c r="M183" t="s">
        <v>50</v>
      </c>
      <c r="N183" t="s">
        <v>1746</v>
      </c>
      <c r="O183" t="s">
        <v>114</v>
      </c>
      <c r="P183">
        <v>11</v>
      </c>
      <c r="Q183" t="s">
        <v>48</v>
      </c>
    </row>
    <row r="184" spans="1:17">
      <c r="A184">
        <v>72</v>
      </c>
      <c r="B184" t="s">
        <v>138</v>
      </c>
      <c r="C184" t="s">
        <v>146</v>
      </c>
      <c r="D184" t="s">
        <v>30</v>
      </c>
      <c r="E184" s="6">
        <v>45373</v>
      </c>
      <c r="F184" t="s">
        <v>329</v>
      </c>
      <c r="G184" t="s">
        <v>1132</v>
      </c>
      <c r="H184" t="s">
        <v>41</v>
      </c>
      <c r="I184" s="4">
        <v>48904.9345508376</v>
      </c>
      <c r="J184">
        <v>356</v>
      </c>
      <c r="K184" t="s">
        <v>36</v>
      </c>
      <c r="L184" s="6">
        <v>45378</v>
      </c>
      <c r="M184" t="s">
        <v>53</v>
      </c>
      <c r="N184" t="s">
        <v>1748</v>
      </c>
      <c r="O184" t="s">
        <v>114</v>
      </c>
      <c r="P184">
        <v>5</v>
      </c>
      <c r="Q184" t="s">
        <v>48</v>
      </c>
    </row>
    <row r="185" spans="1:17">
      <c r="A185">
        <v>69</v>
      </c>
      <c r="B185" t="s">
        <v>137</v>
      </c>
      <c r="C185" t="s">
        <v>140</v>
      </c>
      <c r="D185" t="s">
        <v>27</v>
      </c>
      <c r="E185" s="6">
        <v>45373</v>
      </c>
      <c r="F185" t="s">
        <v>330</v>
      </c>
      <c r="G185" t="s">
        <v>1133</v>
      </c>
      <c r="H185" t="s">
        <v>40</v>
      </c>
      <c r="I185" s="4">
        <v>45937.38154671888</v>
      </c>
      <c r="J185">
        <v>191</v>
      </c>
      <c r="K185" t="s">
        <v>36</v>
      </c>
      <c r="L185" s="6">
        <v>45400</v>
      </c>
      <c r="M185" t="s">
        <v>54</v>
      </c>
      <c r="N185" t="s">
        <v>1746</v>
      </c>
      <c r="O185" t="s">
        <v>114</v>
      </c>
      <c r="P185">
        <v>27</v>
      </c>
      <c r="Q185" t="s">
        <v>48</v>
      </c>
    </row>
    <row r="186" spans="1:17">
      <c r="A186">
        <v>56</v>
      </c>
      <c r="B186" t="s">
        <v>138</v>
      </c>
      <c r="C186" t="s">
        <v>144</v>
      </c>
      <c r="D186" t="s">
        <v>31</v>
      </c>
      <c r="E186" s="6">
        <v>45378</v>
      </c>
      <c r="F186" t="s">
        <v>331</v>
      </c>
      <c r="G186" t="s">
        <v>1134</v>
      </c>
      <c r="H186" t="s">
        <v>41</v>
      </c>
      <c r="I186" s="4">
        <v>18348.37149383411</v>
      </c>
      <c r="J186">
        <v>157</v>
      </c>
      <c r="K186" t="s">
        <v>34</v>
      </c>
      <c r="L186" s="6">
        <v>45399</v>
      </c>
      <c r="M186" t="s">
        <v>52</v>
      </c>
      <c r="N186" t="s">
        <v>1746</v>
      </c>
      <c r="O186" t="s">
        <v>114</v>
      </c>
      <c r="P186">
        <v>21</v>
      </c>
      <c r="Q186" t="s">
        <v>47</v>
      </c>
    </row>
    <row r="187" spans="1:17">
      <c r="A187">
        <v>30</v>
      </c>
      <c r="B187" t="s">
        <v>137</v>
      </c>
      <c r="C187" t="s">
        <v>146</v>
      </c>
      <c r="D187" t="s">
        <v>28</v>
      </c>
      <c r="E187" s="6">
        <v>45382</v>
      </c>
      <c r="F187" t="s">
        <v>332</v>
      </c>
      <c r="G187" t="s">
        <v>1135</v>
      </c>
      <c r="H187" t="s">
        <v>41</v>
      </c>
      <c r="I187" s="4">
        <v>28067.80251518357</v>
      </c>
      <c r="J187">
        <v>370</v>
      </c>
      <c r="K187" t="s">
        <v>36</v>
      </c>
      <c r="L187" s="6">
        <v>45405</v>
      </c>
      <c r="M187" t="s">
        <v>50</v>
      </c>
      <c r="N187" t="s">
        <v>1748</v>
      </c>
      <c r="O187" t="s">
        <v>114</v>
      </c>
      <c r="P187">
        <v>23</v>
      </c>
      <c r="Q187" t="s">
        <v>45</v>
      </c>
    </row>
    <row r="188" spans="1:17">
      <c r="A188">
        <v>35</v>
      </c>
      <c r="B188" t="s">
        <v>137</v>
      </c>
      <c r="C188" t="s">
        <v>144</v>
      </c>
      <c r="D188" t="s">
        <v>31</v>
      </c>
      <c r="E188" s="6">
        <v>45368</v>
      </c>
      <c r="F188" t="s">
        <v>333</v>
      </c>
      <c r="G188" t="s">
        <v>1136</v>
      </c>
      <c r="H188" t="s">
        <v>38</v>
      </c>
      <c r="I188" s="4">
        <v>14218.5134468965</v>
      </c>
      <c r="J188">
        <v>458</v>
      </c>
      <c r="K188" t="s">
        <v>36</v>
      </c>
      <c r="L188" s="6">
        <v>45385</v>
      </c>
      <c r="M188" t="s">
        <v>50</v>
      </c>
      <c r="N188" t="s">
        <v>1746</v>
      </c>
      <c r="O188" t="s">
        <v>114</v>
      </c>
      <c r="P188">
        <v>17</v>
      </c>
      <c r="Q188" t="s">
        <v>45</v>
      </c>
    </row>
    <row r="189" spans="1:17">
      <c r="A189">
        <v>25</v>
      </c>
      <c r="B189" t="s">
        <v>137</v>
      </c>
      <c r="C189" t="s">
        <v>146</v>
      </c>
      <c r="D189" t="s">
        <v>27</v>
      </c>
      <c r="E189" s="6">
        <v>45365</v>
      </c>
      <c r="F189" t="s">
        <v>334</v>
      </c>
      <c r="G189" t="s">
        <v>1137</v>
      </c>
      <c r="H189" t="s">
        <v>39</v>
      </c>
      <c r="I189" s="4">
        <v>40787.18049980058</v>
      </c>
      <c r="J189">
        <v>440</v>
      </c>
      <c r="K189" t="s">
        <v>36</v>
      </c>
      <c r="L189" s="6">
        <v>45379</v>
      </c>
      <c r="M189" t="s">
        <v>53</v>
      </c>
      <c r="N189" t="s">
        <v>1746</v>
      </c>
      <c r="O189" t="s">
        <v>114</v>
      </c>
      <c r="P189">
        <v>14</v>
      </c>
      <c r="Q189" t="s">
        <v>45</v>
      </c>
    </row>
    <row r="190" spans="1:17">
      <c r="A190">
        <v>32</v>
      </c>
      <c r="B190" t="s">
        <v>138</v>
      </c>
      <c r="C190" t="s">
        <v>141</v>
      </c>
      <c r="D190" t="s">
        <v>30</v>
      </c>
      <c r="E190" s="6">
        <v>45358</v>
      </c>
      <c r="F190" t="s">
        <v>335</v>
      </c>
      <c r="G190" t="s">
        <v>1138</v>
      </c>
      <c r="H190" t="s">
        <v>38</v>
      </c>
      <c r="I190" s="4">
        <v>21238.93867475124</v>
      </c>
      <c r="J190">
        <v>338</v>
      </c>
      <c r="K190" t="s">
        <v>35</v>
      </c>
      <c r="L190" s="6">
        <v>45388</v>
      </c>
      <c r="M190" t="s">
        <v>54</v>
      </c>
      <c r="N190" t="s">
        <v>1748</v>
      </c>
      <c r="O190" t="s">
        <v>114</v>
      </c>
      <c r="P190">
        <v>30</v>
      </c>
      <c r="Q190" t="s">
        <v>45</v>
      </c>
    </row>
    <row r="191" spans="1:17">
      <c r="A191">
        <v>48</v>
      </c>
      <c r="B191" t="s">
        <v>138</v>
      </c>
      <c r="C191" t="s">
        <v>143</v>
      </c>
      <c r="D191" t="s">
        <v>28</v>
      </c>
      <c r="E191" s="6">
        <v>45359</v>
      </c>
      <c r="F191" t="s">
        <v>336</v>
      </c>
      <c r="G191" t="s">
        <v>1139</v>
      </c>
      <c r="H191" t="s">
        <v>42</v>
      </c>
      <c r="I191" s="4">
        <v>31795.91637146235</v>
      </c>
      <c r="J191">
        <v>310</v>
      </c>
      <c r="K191" t="s">
        <v>34</v>
      </c>
      <c r="L191" s="6">
        <v>45381</v>
      </c>
      <c r="M191" t="s">
        <v>53</v>
      </c>
      <c r="N191" t="s">
        <v>1746</v>
      </c>
      <c r="O191" t="s">
        <v>114</v>
      </c>
      <c r="P191">
        <v>22</v>
      </c>
      <c r="Q191" t="s">
        <v>46</v>
      </c>
    </row>
    <row r="192" spans="1:17">
      <c r="A192">
        <v>84</v>
      </c>
      <c r="B192" t="s">
        <v>137</v>
      </c>
      <c r="C192" t="s">
        <v>145</v>
      </c>
      <c r="D192" t="s">
        <v>30</v>
      </c>
      <c r="E192" s="6">
        <v>45376</v>
      </c>
      <c r="F192" t="s">
        <v>337</v>
      </c>
      <c r="G192" t="s">
        <v>1140</v>
      </c>
      <c r="H192" t="s">
        <v>39</v>
      </c>
      <c r="I192" s="4">
        <v>15454.4690057352</v>
      </c>
      <c r="J192">
        <v>111</v>
      </c>
      <c r="K192" t="s">
        <v>36</v>
      </c>
      <c r="L192" s="6">
        <v>45388</v>
      </c>
      <c r="M192" t="s">
        <v>52</v>
      </c>
      <c r="N192" t="s">
        <v>1746</v>
      </c>
      <c r="O192" t="s">
        <v>114</v>
      </c>
      <c r="P192">
        <v>12</v>
      </c>
      <c r="Q192" t="s">
        <v>48</v>
      </c>
    </row>
    <row r="193" spans="1:17">
      <c r="A193">
        <v>35</v>
      </c>
      <c r="B193" t="s">
        <v>138</v>
      </c>
      <c r="C193" t="s">
        <v>141</v>
      </c>
      <c r="D193" t="s">
        <v>30</v>
      </c>
      <c r="E193" s="6">
        <v>45352</v>
      </c>
      <c r="F193" t="s">
        <v>338</v>
      </c>
      <c r="G193" t="s">
        <v>1141</v>
      </c>
      <c r="H193" t="s">
        <v>40</v>
      </c>
      <c r="I193" s="4">
        <v>8335.974202191643</v>
      </c>
      <c r="J193">
        <v>396</v>
      </c>
      <c r="K193" t="s">
        <v>35</v>
      </c>
      <c r="L193" s="6">
        <v>45382</v>
      </c>
      <c r="M193" t="s">
        <v>51</v>
      </c>
      <c r="N193" t="s">
        <v>1746</v>
      </c>
      <c r="O193" t="s">
        <v>114</v>
      </c>
      <c r="P193">
        <v>30</v>
      </c>
      <c r="Q193" t="s">
        <v>45</v>
      </c>
    </row>
    <row r="194" spans="1:17">
      <c r="A194">
        <v>73</v>
      </c>
      <c r="B194" t="s">
        <v>138</v>
      </c>
      <c r="C194" t="s">
        <v>139</v>
      </c>
      <c r="D194" t="s">
        <v>29</v>
      </c>
      <c r="E194" s="6">
        <v>45356</v>
      </c>
      <c r="F194" t="s">
        <v>339</v>
      </c>
      <c r="G194" t="s">
        <v>1142</v>
      </c>
      <c r="H194" t="s">
        <v>38</v>
      </c>
      <c r="I194" s="4">
        <v>25311.6207106832</v>
      </c>
      <c r="J194">
        <v>472</v>
      </c>
      <c r="K194" t="s">
        <v>34</v>
      </c>
      <c r="L194" s="6">
        <v>45382</v>
      </c>
      <c r="M194" t="s">
        <v>54</v>
      </c>
      <c r="N194" t="s">
        <v>1747</v>
      </c>
      <c r="O194" t="s">
        <v>114</v>
      </c>
      <c r="P194">
        <v>26</v>
      </c>
      <c r="Q194" t="s">
        <v>48</v>
      </c>
    </row>
    <row r="195" spans="1:17">
      <c r="A195">
        <v>77</v>
      </c>
      <c r="B195" t="s">
        <v>137</v>
      </c>
      <c r="C195" t="s">
        <v>139</v>
      </c>
      <c r="D195" t="s">
        <v>32</v>
      </c>
      <c r="E195" s="6">
        <v>45370</v>
      </c>
      <c r="F195" t="s">
        <v>340</v>
      </c>
      <c r="G195" t="s">
        <v>1143</v>
      </c>
      <c r="H195" t="s">
        <v>39</v>
      </c>
      <c r="I195" s="4">
        <v>23137.6494094142</v>
      </c>
      <c r="J195">
        <v>140</v>
      </c>
      <c r="K195" t="s">
        <v>34</v>
      </c>
      <c r="L195" s="6">
        <v>45391</v>
      </c>
      <c r="M195" t="s">
        <v>50</v>
      </c>
      <c r="N195" t="s">
        <v>1747</v>
      </c>
      <c r="O195" t="s">
        <v>114</v>
      </c>
      <c r="P195">
        <v>21</v>
      </c>
      <c r="Q195" t="s">
        <v>48</v>
      </c>
    </row>
    <row r="196" spans="1:17">
      <c r="A196">
        <v>52</v>
      </c>
      <c r="B196" t="s">
        <v>138</v>
      </c>
      <c r="C196" t="s">
        <v>141</v>
      </c>
      <c r="D196" t="s">
        <v>31</v>
      </c>
      <c r="E196" s="6">
        <v>45360</v>
      </c>
      <c r="F196" t="s">
        <v>341</v>
      </c>
      <c r="G196" t="s">
        <v>1144</v>
      </c>
      <c r="H196" t="s">
        <v>39</v>
      </c>
      <c r="I196" s="4">
        <v>4606.609431842437</v>
      </c>
      <c r="J196">
        <v>310</v>
      </c>
      <c r="K196" t="s">
        <v>34</v>
      </c>
      <c r="L196" s="6">
        <v>45380</v>
      </c>
      <c r="M196" t="s">
        <v>53</v>
      </c>
      <c r="N196" t="s">
        <v>1747</v>
      </c>
      <c r="O196" t="s">
        <v>114</v>
      </c>
      <c r="P196">
        <v>20</v>
      </c>
      <c r="Q196" t="s">
        <v>47</v>
      </c>
    </row>
    <row r="197" spans="1:17">
      <c r="A197">
        <v>45</v>
      </c>
      <c r="B197" t="s">
        <v>138</v>
      </c>
      <c r="C197" t="s">
        <v>146</v>
      </c>
      <c r="D197" t="s">
        <v>30</v>
      </c>
      <c r="E197" s="6">
        <v>45360</v>
      </c>
      <c r="F197" t="s">
        <v>342</v>
      </c>
      <c r="G197" t="s">
        <v>1145</v>
      </c>
      <c r="H197" t="s">
        <v>38</v>
      </c>
      <c r="I197" s="4">
        <v>13673.95597203552</v>
      </c>
      <c r="J197">
        <v>157</v>
      </c>
      <c r="K197" t="s">
        <v>34</v>
      </c>
      <c r="L197" s="6">
        <v>45376</v>
      </c>
      <c r="M197" t="s">
        <v>52</v>
      </c>
      <c r="N197" t="s">
        <v>1747</v>
      </c>
      <c r="O197" t="s">
        <v>114</v>
      </c>
      <c r="P197">
        <v>16</v>
      </c>
      <c r="Q197" t="s">
        <v>46</v>
      </c>
    </row>
    <row r="198" spans="1:17">
      <c r="A198">
        <v>66</v>
      </c>
      <c r="B198" t="s">
        <v>137</v>
      </c>
      <c r="C198" t="s">
        <v>146</v>
      </c>
      <c r="D198" t="s">
        <v>29</v>
      </c>
      <c r="E198" s="6">
        <v>45374</v>
      </c>
      <c r="F198" t="s">
        <v>343</v>
      </c>
      <c r="G198" t="s">
        <v>1146</v>
      </c>
      <c r="H198" t="s">
        <v>38</v>
      </c>
      <c r="I198" s="4">
        <v>21408.56070653881</v>
      </c>
      <c r="J198">
        <v>276</v>
      </c>
      <c r="K198" t="s">
        <v>36</v>
      </c>
      <c r="L198" s="6">
        <v>45404</v>
      </c>
      <c r="M198" t="s">
        <v>54</v>
      </c>
      <c r="N198" t="s">
        <v>1747</v>
      </c>
      <c r="O198" t="s">
        <v>114</v>
      </c>
      <c r="P198">
        <v>30</v>
      </c>
      <c r="Q198" t="s">
        <v>48</v>
      </c>
    </row>
    <row r="199" spans="1:17">
      <c r="A199">
        <v>43</v>
      </c>
      <c r="B199" t="s">
        <v>137</v>
      </c>
      <c r="C199" t="s">
        <v>142</v>
      </c>
      <c r="D199" t="s">
        <v>28</v>
      </c>
      <c r="E199" s="6">
        <v>45375</v>
      </c>
      <c r="F199" t="s">
        <v>344</v>
      </c>
      <c r="G199" t="s">
        <v>1147</v>
      </c>
      <c r="H199" t="s">
        <v>38</v>
      </c>
      <c r="I199" s="4">
        <v>40357.23737184726</v>
      </c>
      <c r="J199">
        <v>346</v>
      </c>
      <c r="K199" t="s">
        <v>35</v>
      </c>
      <c r="L199" s="6">
        <v>45400</v>
      </c>
      <c r="M199" t="s">
        <v>54</v>
      </c>
      <c r="N199" t="s">
        <v>1748</v>
      </c>
      <c r="O199" t="s">
        <v>114</v>
      </c>
      <c r="P199">
        <v>25</v>
      </c>
      <c r="Q199" t="s">
        <v>46</v>
      </c>
    </row>
    <row r="200" spans="1:17">
      <c r="A200">
        <v>85</v>
      </c>
      <c r="B200" t="s">
        <v>138</v>
      </c>
      <c r="C200" t="s">
        <v>140</v>
      </c>
      <c r="D200" t="s">
        <v>28</v>
      </c>
      <c r="E200" s="6">
        <v>45367</v>
      </c>
      <c r="F200" t="s">
        <v>345</v>
      </c>
      <c r="G200" t="s">
        <v>1148</v>
      </c>
      <c r="H200" t="s">
        <v>40</v>
      </c>
      <c r="I200" s="4">
        <v>20739.54547287969</v>
      </c>
      <c r="J200">
        <v>295</v>
      </c>
      <c r="K200" t="s">
        <v>35</v>
      </c>
      <c r="L200" s="6">
        <v>45388</v>
      </c>
      <c r="M200" t="s">
        <v>54</v>
      </c>
      <c r="N200" t="s">
        <v>1748</v>
      </c>
      <c r="O200" t="s">
        <v>114</v>
      </c>
      <c r="P200">
        <v>21</v>
      </c>
      <c r="Q200" t="s">
        <v>48</v>
      </c>
    </row>
    <row r="201" spans="1:17">
      <c r="A201">
        <v>26</v>
      </c>
      <c r="B201" t="s">
        <v>138</v>
      </c>
      <c r="C201" t="s">
        <v>139</v>
      </c>
      <c r="D201" t="s">
        <v>30</v>
      </c>
      <c r="E201" s="6">
        <v>45382</v>
      </c>
      <c r="F201" t="s">
        <v>346</v>
      </c>
      <c r="G201" t="s">
        <v>1149</v>
      </c>
      <c r="H201" t="s">
        <v>40</v>
      </c>
      <c r="I201" s="4">
        <v>21080.59647917014</v>
      </c>
      <c r="J201">
        <v>436</v>
      </c>
      <c r="K201" t="s">
        <v>36</v>
      </c>
      <c r="L201" s="6">
        <v>45405</v>
      </c>
      <c r="M201" t="s">
        <v>53</v>
      </c>
      <c r="N201" t="s">
        <v>1746</v>
      </c>
      <c r="O201" t="s">
        <v>114</v>
      </c>
      <c r="P201">
        <v>23</v>
      </c>
      <c r="Q201" t="s">
        <v>45</v>
      </c>
    </row>
    <row r="202" spans="1:17">
      <c r="A202">
        <v>80</v>
      </c>
      <c r="B202" t="s">
        <v>137</v>
      </c>
      <c r="C202" t="s">
        <v>146</v>
      </c>
      <c r="D202" t="s">
        <v>29</v>
      </c>
      <c r="E202" s="6">
        <v>45370</v>
      </c>
      <c r="F202" t="s">
        <v>347</v>
      </c>
      <c r="G202" t="s">
        <v>1150</v>
      </c>
      <c r="H202" t="s">
        <v>41</v>
      </c>
      <c r="I202" s="4">
        <v>28323.81862124732</v>
      </c>
      <c r="J202">
        <v>194</v>
      </c>
      <c r="K202" t="s">
        <v>35</v>
      </c>
      <c r="L202" s="6">
        <v>45387</v>
      </c>
      <c r="M202" t="s">
        <v>52</v>
      </c>
      <c r="N202" t="s">
        <v>1748</v>
      </c>
      <c r="O202" t="s">
        <v>114</v>
      </c>
      <c r="P202">
        <v>17</v>
      </c>
      <c r="Q202" t="s">
        <v>48</v>
      </c>
    </row>
    <row r="203" spans="1:17">
      <c r="A203">
        <v>65</v>
      </c>
      <c r="B203" t="s">
        <v>137</v>
      </c>
      <c r="C203" t="s">
        <v>140</v>
      </c>
      <c r="D203" t="s">
        <v>28</v>
      </c>
      <c r="E203" s="6">
        <v>45354</v>
      </c>
      <c r="F203" t="s">
        <v>348</v>
      </c>
      <c r="G203" t="s">
        <v>1151</v>
      </c>
      <c r="H203" t="s">
        <v>41</v>
      </c>
      <c r="I203" s="4">
        <v>41759.96021388807</v>
      </c>
      <c r="J203">
        <v>113</v>
      </c>
      <c r="K203" t="s">
        <v>34</v>
      </c>
      <c r="L203" s="6">
        <v>45382</v>
      </c>
      <c r="M203" t="s">
        <v>50</v>
      </c>
      <c r="N203" t="s">
        <v>1748</v>
      </c>
      <c r="O203" t="s">
        <v>114</v>
      </c>
      <c r="P203">
        <v>28</v>
      </c>
      <c r="Q203" t="s">
        <v>47</v>
      </c>
    </row>
    <row r="204" spans="1:17">
      <c r="A204">
        <v>52</v>
      </c>
      <c r="B204" t="s">
        <v>138</v>
      </c>
      <c r="C204" t="s">
        <v>141</v>
      </c>
      <c r="D204" t="s">
        <v>30</v>
      </c>
      <c r="E204" s="6">
        <v>45359</v>
      </c>
      <c r="F204" t="s">
        <v>349</v>
      </c>
      <c r="G204" t="s">
        <v>1152</v>
      </c>
      <c r="H204" t="s">
        <v>40</v>
      </c>
      <c r="I204" s="4">
        <v>12952.44329282899</v>
      </c>
      <c r="J204">
        <v>146</v>
      </c>
      <c r="K204" t="s">
        <v>35</v>
      </c>
      <c r="L204" s="6">
        <v>45373</v>
      </c>
      <c r="M204" t="s">
        <v>54</v>
      </c>
      <c r="N204" t="s">
        <v>1746</v>
      </c>
      <c r="O204" t="s">
        <v>114</v>
      </c>
      <c r="P204">
        <v>14</v>
      </c>
      <c r="Q204" t="s">
        <v>47</v>
      </c>
    </row>
    <row r="205" spans="1:17">
      <c r="A205">
        <v>36</v>
      </c>
      <c r="B205" t="s">
        <v>138</v>
      </c>
      <c r="C205" t="s">
        <v>140</v>
      </c>
      <c r="D205" t="s">
        <v>27</v>
      </c>
      <c r="E205" s="6">
        <v>45366</v>
      </c>
      <c r="F205" t="s">
        <v>350</v>
      </c>
      <c r="G205" t="s">
        <v>1153</v>
      </c>
      <c r="H205" t="s">
        <v>39</v>
      </c>
      <c r="I205" s="4">
        <v>14651.25266459422</v>
      </c>
      <c r="J205">
        <v>430</v>
      </c>
      <c r="K205" t="s">
        <v>34</v>
      </c>
      <c r="L205" s="6">
        <v>45385</v>
      </c>
      <c r="M205" t="s">
        <v>53</v>
      </c>
      <c r="N205" t="s">
        <v>1748</v>
      </c>
      <c r="O205" t="s">
        <v>114</v>
      </c>
      <c r="P205">
        <v>19</v>
      </c>
      <c r="Q205" t="s">
        <v>46</v>
      </c>
    </row>
    <row r="206" spans="1:17">
      <c r="A206">
        <v>31</v>
      </c>
      <c r="B206" t="s">
        <v>138</v>
      </c>
      <c r="C206" t="s">
        <v>142</v>
      </c>
      <c r="D206" t="s">
        <v>28</v>
      </c>
      <c r="E206" s="6">
        <v>45368</v>
      </c>
      <c r="F206" t="s">
        <v>351</v>
      </c>
      <c r="G206" t="s">
        <v>1154</v>
      </c>
      <c r="H206" t="s">
        <v>41</v>
      </c>
      <c r="I206" s="4">
        <v>42415.94793221822</v>
      </c>
      <c r="J206">
        <v>239</v>
      </c>
      <c r="K206" t="s">
        <v>35</v>
      </c>
      <c r="L206" s="6">
        <v>45394</v>
      </c>
      <c r="M206" t="s">
        <v>51</v>
      </c>
      <c r="N206" t="s">
        <v>1748</v>
      </c>
      <c r="O206" t="s">
        <v>114</v>
      </c>
      <c r="P206">
        <v>26</v>
      </c>
      <c r="Q206" t="s">
        <v>45</v>
      </c>
    </row>
    <row r="207" spans="1:17">
      <c r="A207">
        <v>43</v>
      </c>
      <c r="B207" t="s">
        <v>138</v>
      </c>
      <c r="C207" t="s">
        <v>144</v>
      </c>
      <c r="D207" t="s">
        <v>27</v>
      </c>
      <c r="E207" s="6">
        <v>45381</v>
      </c>
      <c r="F207" t="s">
        <v>352</v>
      </c>
      <c r="G207" t="s">
        <v>1155</v>
      </c>
      <c r="H207" t="s">
        <v>41</v>
      </c>
      <c r="I207" s="4">
        <v>27867.21035207837</v>
      </c>
      <c r="J207">
        <v>255</v>
      </c>
      <c r="K207" t="s">
        <v>35</v>
      </c>
      <c r="L207" s="6">
        <v>45397</v>
      </c>
      <c r="M207" t="s">
        <v>53</v>
      </c>
      <c r="N207" t="s">
        <v>1746</v>
      </c>
      <c r="O207" t="s">
        <v>114</v>
      </c>
      <c r="P207">
        <v>16</v>
      </c>
      <c r="Q207" t="s">
        <v>46</v>
      </c>
    </row>
    <row r="208" spans="1:17">
      <c r="A208">
        <v>59</v>
      </c>
      <c r="B208" t="s">
        <v>137</v>
      </c>
      <c r="C208" t="s">
        <v>143</v>
      </c>
      <c r="D208" t="s">
        <v>30</v>
      </c>
      <c r="E208" s="6">
        <v>45368</v>
      </c>
      <c r="F208" t="s">
        <v>353</v>
      </c>
      <c r="G208" t="s">
        <v>1156</v>
      </c>
      <c r="H208" t="s">
        <v>38</v>
      </c>
      <c r="I208" s="4">
        <v>45228.07735695945</v>
      </c>
      <c r="J208">
        <v>414</v>
      </c>
      <c r="K208" t="s">
        <v>34</v>
      </c>
      <c r="L208" s="6">
        <v>45372</v>
      </c>
      <c r="M208" t="s">
        <v>52</v>
      </c>
      <c r="N208" t="s">
        <v>1746</v>
      </c>
      <c r="O208" t="s">
        <v>114</v>
      </c>
      <c r="P208">
        <v>4</v>
      </c>
      <c r="Q208" t="s">
        <v>47</v>
      </c>
    </row>
    <row r="209" spans="1:17">
      <c r="A209">
        <v>27</v>
      </c>
      <c r="B209" t="s">
        <v>137</v>
      </c>
      <c r="C209" t="s">
        <v>139</v>
      </c>
      <c r="D209" t="s">
        <v>29</v>
      </c>
      <c r="E209" s="6">
        <v>45364</v>
      </c>
      <c r="F209" t="s">
        <v>354</v>
      </c>
      <c r="G209" t="s">
        <v>1157</v>
      </c>
      <c r="H209" t="s">
        <v>39</v>
      </c>
      <c r="I209" s="4">
        <v>28190.29527594577</v>
      </c>
      <c r="J209">
        <v>317</v>
      </c>
      <c r="K209" t="s">
        <v>34</v>
      </c>
      <c r="L209" s="6">
        <v>45366</v>
      </c>
      <c r="M209" t="s">
        <v>51</v>
      </c>
      <c r="N209" t="s">
        <v>1747</v>
      </c>
      <c r="O209" t="s">
        <v>114</v>
      </c>
      <c r="P209">
        <v>2</v>
      </c>
      <c r="Q209" t="s">
        <v>45</v>
      </c>
    </row>
    <row r="210" spans="1:17">
      <c r="A210">
        <v>65</v>
      </c>
      <c r="B210" t="s">
        <v>137</v>
      </c>
      <c r="C210" t="s">
        <v>145</v>
      </c>
      <c r="D210" t="s">
        <v>30</v>
      </c>
      <c r="E210" s="6">
        <v>45375</v>
      </c>
      <c r="F210" t="s">
        <v>355</v>
      </c>
      <c r="G210" t="s">
        <v>1158</v>
      </c>
      <c r="H210" t="s">
        <v>38</v>
      </c>
      <c r="I210" s="4">
        <v>3055.791975673474</v>
      </c>
      <c r="J210">
        <v>207</v>
      </c>
      <c r="K210" t="s">
        <v>36</v>
      </c>
      <c r="L210" s="6">
        <v>45405</v>
      </c>
      <c r="M210" t="s">
        <v>53</v>
      </c>
      <c r="N210" t="s">
        <v>1748</v>
      </c>
      <c r="O210" t="s">
        <v>114</v>
      </c>
      <c r="P210">
        <v>30</v>
      </c>
      <c r="Q210" t="s">
        <v>47</v>
      </c>
    </row>
    <row r="211" spans="1:17">
      <c r="A211">
        <v>37</v>
      </c>
      <c r="B211" t="s">
        <v>138</v>
      </c>
      <c r="C211" t="s">
        <v>146</v>
      </c>
      <c r="D211" t="s">
        <v>27</v>
      </c>
      <c r="E211" s="6">
        <v>45382</v>
      </c>
      <c r="F211" t="s">
        <v>356</v>
      </c>
      <c r="G211" t="s">
        <v>1159</v>
      </c>
      <c r="H211" t="s">
        <v>42</v>
      </c>
      <c r="I211" s="4">
        <v>19489.39441272267</v>
      </c>
      <c r="J211">
        <v>349</v>
      </c>
      <c r="K211" t="s">
        <v>36</v>
      </c>
      <c r="L211" s="6">
        <v>45409</v>
      </c>
      <c r="M211" t="s">
        <v>52</v>
      </c>
      <c r="N211" t="s">
        <v>1748</v>
      </c>
      <c r="O211" t="s">
        <v>114</v>
      </c>
      <c r="P211">
        <v>27</v>
      </c>
      <c r="Q211" t="s">
        <v>46</v>
      </c>
    </row>
    <row r="212" spans="1:17">
      <c r="A212">
        <v>26</v>
      </c>
      <c r="B212" t="s">
        <v>138</v>
      </c>
      <c r="C212" t="s">
        <v>143</v>
      </c>
      <c r="D212" t="s">
        <v>31</v>
      </c>
      <c r="E212" s="6">
        <v>45355</v>
      </c>
      <c r="F212" t="s">
        <v>357</v>
      </c>
      <c r="G212" t="s">
        <v>1160</v>
      </c>
      <c r="H212" t="s">
        <v>41</v>
      </c>
      <c r="I212" s="4">
        <v>31229.13283826017</v>
      </c>
      <c r="J212">
        <v>287</v>
      </c>
      <c r="K212" t="s">
        <v>36</v>
      </c>
      <c r="L212" s="6">
        <v>45361</v>
      </c>
      <c r="M212" t="s">
        <v>52</v>
      </c>
      <c r="N212" t="s">
        <v>1748</v>
      </c>
      <c r="O212" t="s">
        <v>114</v>
      </c>
      <c r="P212">
        <v>6</v>
      </c>
      <c r="Q212" t="s">
        <v>45</v>
      </c>
    </row>
    <row r="213" spans="1:17">
      <c r="A213">
        <v>66</v>
      </c>
      <c r="B213" t="s">
        <v>138</v>
      </c>
      <c r="C213" t="s">
        <v>141</v>
      </c>
      <c r="D213" t="s">
        <v>31</v>
      </c>
      <c r="E213" s="6">
        <v>45368</v>
      </c>
      <c r="F213" t="s">
        <v>358</v>
      </c>
      <c r="G213" t="s">
        <v>1161</v>
      </c>
      <c r="H213" t="s">
        <v>41</v>
      </c>
      <c r="I213" s="4">
        <v>35066.37604220922</v>
      </c>
      <c r="J213">
        <v>449</v>
      </c>
      <c r="K213" t="s">
        <v>36</v>
      </c>
      <c r="L213" s="6">
        <v>45370</v>
      </c>
      <c r="M213" t="s">
        <v>53</v>
      </c>
      <c r="N213" t="s">
        <v>1746</v>
      </c>
      <c r="O213" t="s">
        <v>114</v>
      </c>
      <c r="P213">
        <v>2</v>
      </c>
      <c r="Q213" t="s">
        <v>48</v>
      </c>
    </row>
    <row r="214" spans="1:17">
      <c r="A214">
        <v>76</v>
      </c>
      <c r="B214" t="s">
        <v>138</v>
      </c>
      <c r="C214" t="s">
        <v>141</v>
      </c>
      <c r="D214" t="s">
        <v>29</v>
      </c>
      <c r="E214" s="6">
        <v>45382</v>
      </c>
      <c r="F214" t="s">
        <v>359</v>
      </c>
      <c r="G214" t="s">
        <v>1162</v>
      </c>
      <c r="H214" t="s">
        <v>38</v>
      </c>
      <c r="I214" s="4">
        <v>14625.22960750356</v>
      </c>
      <c r="J214">
        <v>173</v>
      </c>
      <c r="K214" t="s">
        <v>34</v>
      </c>
      <c r="L214" s="6">
        <v>45410</v>
      </c>
      <c r="M214" t="s">
        <v>54</v>
      </c>
      <c r="N214" t="s">
        <v>1748</v>
      </c>
      <c r="O214" t="s">
        <v>114</v>
      </c>
      <c r="P214">
        <v>28</v>
      </c>
      <c r="Q214" t="s">
        <v>48</v>
      </c>
    </row>
    <row r="215" spans="1:17">
      <c r="A215">
        <v>85</v>
      </c>
      <c r="B215" t="s">
        <v>138</v>
      </c>
      <c r="C215" t="s">
        <v>145</v>
      </c>
      <c r="D215" t="s">
        <v>32</v>
      </c>
      <c r="E215" s="6">
        <v>45381</v>
      </c>
      <c r="F215" t="s">
        <v>360</v>
      </c>
      <c r="G215" t="s">
        <v>1163</v>
      </c>
      <c r="H215" t="s">
        <v>38</v>
      </c>
      <c r="I215" s="4">
        <v>7979.097529017755</v>
      </c>
      <c r="J215">
        <v>135</v>
      </c>
      <c r="K215" t="s">
        <v>35</v>
      </c>
      <c r="L215" s="6">
        <v>45396</v>
      </c>
      <c r="M215" t="s">
        <v>50</v>
      </c>
      <c r="N215" t="s">
        <v>1748</v>
      </c>
      <c r="O215" t="s">
        <v>114</v>
      </c>
      <c r="P215">
        <v>15</v>
      </c>
      <c r="Q215" t="s">
        <v>48</v>
      </c>
    </row>
    <row r="216" spans="1:17">
      <c r="A216">
        <v>82</v>
      </c>
      <c r="B216" t="s">
        <v>137</v>
      </c>
      <c r="C216" t="s">
        <v>142</v>
      </c>
      <c r="D216" t="s">
        <v>29</v>
      </c>
      <c r="E216" s="6">
        <v>45367</v>
      </c>
      <c r="F216" t="s">
        <v>361</v>
      </c>
      <c r="G216" t="s">
        <v>1164</v>
      </c>
      <c r="H216" t="s">
        <v>38</v>
      </c>
      <c r="I216" s="4">
        <v>23010.94093080039</v>
      </c>
      <c r="J216">
        <v>161</v>
      </c>
      <c r="K216" t="s">
        <v>34</v>
      </c>
      <c r="L216" s="6">
        <v>45390</v>
      </c>
      <c r="M216" t="s">
        <v>52</v>
      </c>
      <c r="N216" t="s">
        <v>1748</v>
      </c>
      <c r="O216" t="s">
        <v>114</v>
      </c>
      <c r="P216">
        <v>23</v>
      </c>
      <c r="Q216" t="s">
        <v>48</v>
      </c>
    </row>
    <row r="217" spans="1:17">
      <c r="A217">
        <v>36</v>
      </c>
      <c r="B217" t="s">
        <v>137</v>
      </c>
      <c r="C217" t="s">
        <v>140</v>
      </c>
      <c r="D217" t="s">
        <v>30</v>
      </c>
      <c r="E217" s="6">
        <v>45368</v>
      </c>
      <c r="F217" t="s">
        <v>362</v>
      </c>
      <c r="G217" t="s">
        <v>1165</v>
      </c>
      <c r="H217" t="s">
        <v>39</v>
      </c>
      <c r="I217" s="4">
        <v>30061.02081858215</v>
      </c>
      <c r="J217">
        <v>212</v>
      </c>
      <c r="K217" t="s">
        <v>34</v>
      </c>
      <c r="L217" s="6">
        <v>45391</v>
      </c>
      <c r="M217" t="s">
        <v>51</v>
      </c>
      <c r="N217" t="s">
        <v>1746</v>
      </c>
      <c r="O217" t="s">
        <v>114</v>
      </c>
      <c r="P217">
        <v>23</v>
      </c>
      <c r="Q217" t="s">
        <v>46</v>
      </c>
    </row>
    <row r="218" spans="1:17">
      <c r="A218">
        <v>39</v>
      </c>
      <c r="B218" t="s">
        <v>138</v>
      </c>
      <c r="C218" t="s">
        <v>144</v>
      </c>
      <c r="D218" t="s">
        <v>32</v>
      </c>
      <c r="E218" s="6">
        <v>45379</v>
      </c>
      <c r="F218" t="s">
        <v>363</v>
      </c>
      <c r="G218" t="s">
        <v>1166</v>
      </c>
      <c r="H218" t="s">
        <v>38</v>
      </c>
      <c r="I218" s="4">
        <v>4781.944662475104</v>
      </c>
      <c r="J218">
        <v>392</v>
      </c>
      <c r="K218" t="s">
        <v>35</v>
      </c>
      <c r="L218" s="6">
        <v>45396</v>
      </c>
      <c r="M218" t="s">
        <v>50</v>
      </c>
      <c r="N218" t="s">
        <v>1746</v>
      </c>
      <c r="O218" t="s">
        <v>114</v>
      </c>
      <c r="P218">
        <v>17</v>
      </c>
      <c r="Q218" t="s">
        <v>46</v>
      </c>
    </row>
    <row r="219" spans="1:17">
      <c r="A219">
        <v>49</v>
      </c>
      <c r="B219" t="s">
        <v>137</v>
      </c>
      <c r="C219" t="s">
        <v>144</v>
      </c>
      <c r="D219" t="s">
        <v>32</v>
      </c>
      <c r="E219" s="6">
        <v>45365</v>
      </c>
      <c r="F219" t="s">
        <v>364</v>
      </c>
      <c r="G219" t="s">
        <v>1167</v>
      </c>
      <c r="H219" t="s">
        <v>40</v>
      </c>
      <c r="I219" s="4">
        <v>27857.48226575954</v>
      </c>
      <c r="J219">
        <v>365</v>
      </c>
      <c r="K219" t="s">
        <v>35</v>
      </c>
      <c r="L219" s="6">
        <v>45372</v>
      </c>
      <c r="M219" t="s">
        <v>51</v>
      </c>
      <c r="N219" t="s">
        <v>1748</v>
      </c>
      <c r="O219" t="s">
        <v>114</v>
      </c>
      <c r="P219">
        <v>7</v>
      </c>
      <c r="Q219" t="s">
        <v>46</v>
      </c>
    </row>
    <row r="220" spans="1:17">
      <c r="A220">
        <v>83</v>
      </c>
      <c r="B220" t="s">
        <v>138</v>
      </c>
      <c r="C220" t="s">
        <v>142</v>
      </c>
      <c r="D220" t="s">
        <v>29</v>
      </c>
      <c r="E220" s="6">
        <v>45369</v>
      </c>
      <c r="F220" t="s">
        <v>365</v>
      </c>
      <c r="G220" t="s">
        <v>1168</v>
      </c>
      <c r="H220" t="s">
        <v>40</v>
      </c>
      <c r="I220" s="4">
        <v>35848.38871695645</v>
      </c>
      <c r="J220">
        <v>285</v>
      </c>
      <c r="K220" t="s">
        <v>34</v>
      </c>
      <c r="L220" s="6">
        <v>45396</v>
      </c>
      <c r="M220" t="s">
        <v>51</v>
      </c>
      <c r="N220" t="s">
        <v>1746</v>
      </c>
      <c r="O220" t="s">
        <v>114</v>
      </c>
      <c r="P220">
        <v>27</v>
      </c>
      <c r="Q220" t="s">
        <v>48</v>
      </c>
    </row>
    <row r="221" spans="1:17">
      <c r="A221">
        <v>44</v>
      </c>
      <c r="B221" t="s">
        <v>137</v>
      </c>
      <c r="C221" t="s">
        <v>140</v>
      </c>
      <c r="D221" t="s">
        <v>28</v>
      </c>
      <c r="E221" s="6">
        <v>45360</v>
      </c>
      <c r="F221" t="s">
        <v>366</v>
      </c>
      <c r="G221" t="s">
        <v>1169</v>
      </c>
      <c r="H221" t="s">
        <v>40</v>
      </c>
      <c r="I221" s="4">
        <v>10645.75984068636</v>
      </c>
      <c r="J221">
        <v>306</v>
      </c>
      <c r="K221" t="s">
        <v>35</v>
      </c>
      <c r="L221" s="6">
        <v>45366</v>
      </c>
      <c r="M221" t="s">
        <v>52</v>
      </c>
      <c r="N221" t="s">
        <v>1746</v>
      </c>
      <c r="O221" t="s">
        <v>114</v>
      </c>
      <c r="P221">
        <v>6</v>
      </c>
      <c r="Q221" t="s">
        <v>46</v>
      </c>
    </row>
    <row r="222" spans="1:17">
      <c r="A222">
        <v>45</v>
      </c>
      <c r="B222" t="s">
        <v>138</v>
      </c>
      <c r="C222" t="s">
        <v>146</v>
      </c>
      <c r="D222" t="s">
        <v>31</v>
      </c>
      <c r="E222" s="6">
        <v>45381</v>
      </c>
      <c r="F222" t="s">
        <v>367</v>
      </c>
      <c r="G222" t="s">
        <v>1170</v>
      </c>
      <c r="H222" t="s">
        <v>40</v>
      </c>
      <c r="I222" s="4">
        <v>36326.83400920176</v>
      </c>
      <c r="J222">
        <v>347</v>
      </c>
      <c r="K222" t="s">
        <v>34</v>
      </c>
      <c r="L222" s="6">
        <v>45385</v>
      </c>
      <c r="M222" t="s">
        <v>51</v>
      </c>
      <c r="N222" t="s">
        <v>1747</v>
      </c>
      <c r="O222" t="s">
        <v>114</v>
      </c>
      <c r="P222">
        <v>4</v>
      </c>
      <c r="Q222" t="s">
        <v>46</v>
      </c>
    </row>
    <row r="223" spans="1:17">
      <c r="A223">
        <v>57</v>
      </c>
      <c r="B223" t="s">
        <v>138</v>
      </c>
      <c r="C223" t="s">
        <v>140</v>
      </c>
      <c r="D223" t="s">
        <v>29</v>
      </c>
      <c r="E223" s="6">
        <v>45367</v>
      </c>
      <c r="F223" t="s">
        <v>368</v>
      </c>
      <c r="G223" t="s">
        <v>1171</v>
      </c>
      <c r="H223" t="s">
        <v>42</v>
      </c>
      <c r="I223" s="4">
        <v>29648.30080498769</v>
      </c>
      <c r="J223">
        <v>316</v>
      </c>
      <c r="K223" t="s">
        <v>35</v>
      </c>
      <c r="L223" s="6">
        <v>45388</v>
      </c>
      <c r="M223" t="s">
        <v>50</v>
      </c>
      <c r="N223" t="s">
        <v>1747</v>
      </c>
      <c r="O223" t="s">
        <v>114</v>
      </c>
      <c r="P223">
        <v>21</v>
      </c>
      <c r="Q223" t="s">
        <v>47</v>
      </c>
    </row>
    <row r="224" spans="1:17">
      <c r="A224">
        <v>27</v>
      </c>
      <c r="B224" t="s">
        <v>137</v>
      </c>
      <c r="C224" t="s">
        <v>142</v>
      </c>
      <c r="D224" t="s">
        <v>28</v>
      </c>
      <c r="E224" s="6">
        <v>45378</v>
      </c>
      <c r="F224" t="s">
        <v>369</v>
      </c>
      <c r="G224" t="s">
        <v>1172</v>
      </c>
      <c r="H224" t="s">
        <v>38</v>
      </c>
      <c r="I224" s="4">
        <v>29514.55535691612</v>
      </c>
      <c r="J224">
        <v>199</v>
      </c>
      <c r="K224" t="s">
        <v>35</v>
      </c>
      <c r="L224" s="6">
        <v>45393</v>
      </c>
      <c r="M224" t="s">
        <v>52</v>
      </c>
      <c r="N224" t="s">
        <v>1748</v>
      </c>
      <c r="O224" t="s">
        <v>114</v>
      </c>
      <c r="P224">
        <v>15</v>
      </c>
      <c r="Q224" t="s">
        <v>45</v>
      </c>
    </row>
    <row r="225" spans="1:17">
      <c r="A225">
        <v>65</v>
      </c>
      <c r="B225" t="s">
        <v>138</v>
      </c>
      <c r="C225" t="s">
        <v>141</v>
      </c>
      <c r="D225" t="s">
        <v>31</v>
      </c>
      <c r="E225" s="6">
        <v>45371</v>
      </c>
      <c r="F225" t="s">
        <v>370</v>
      </c>
      <c r="G225" t="s">
        <v>1173</v>
      </c>
      <c r="H225" t="s">
        <v>39</v>
      </c>
      <c r="I225" s="4">
        <v>5086.511579073248</v>
      </c>
      <c r="J225">
        <v>343</v>
      </c>
      <c r="K225" t="s">
        <v>36</v>
      </c>
      <c r="L225" s="6">
        <v>45397</v>
      </c>
      <c r="M225" t="s">
        <v>51</v>
      </c>
      <c r="N225" t="s">
        <v>1748</v>
      </c>
      <c r="O225" t="s">
        <v>114</v>
      </c>
      <c r="P225">
        <v>26</v>
      </c>
      <c r="Q225" t="s">
        <v>47</v>
      </c>
    </row>
    <row r="226" spans="1:17">
      <c r="A226">
        <v>33</v>
      </c>
      <c r="B226" t="s">
        <v>138</v>
      </c>
      <c r="C226" t="s">
        <v>143</v>
      </c>
      <c r="D226" t="s">
        <v>29</v>
      </c>
      <c r="E226" s="6">
        <v>45372</v>
      </c>
      <c r="F226" t="s">
        <v>371</v>
      </c>
      <c r="G226" t="s">
        <v>1174</v>
      </c>
      <c r="H226" t="s">
        <v>38</v>
      </c>
      <c r="I226" s="4">
        <v>44983.29990982988</v>
      </c>
      <c r="J226">
        <v>222</v>
      </c>
      <c r="K226" t="s">
        <v>36</v>
      </c>
      <c r="L226" s="6">
        <v>45397</v>
      </c>
      <c r="M226" t="s">
        <v>53</v>
      </c>
      <c r="N226" t="s">
        <v>1748</v>
      </c>
      <c r="O226" t="s">
        <v>114</v>
      </c>
      <c r="P226">
        <v>25</v>
      </c>
      <c r="Q226" t="s">
        <v>45</v>
      </c>
    </row>
    <row r="227" spans="1:17">
      <c r="A227">
        <v>22</v>
      </c>
      <c r="B227" t="s">
        <v>137</v>
      </c>
      <c r="C227" t="s">
        <v>141</v>
      </c>
      <c r="D227" t="s">
        <v>29</v>
      </c>
      <c r="E227" s="6">
        <v>45356</v>
      </c>
      <c r="F227" t="s">
        <v>372</v>
      </c>
      <c r="G227" t="s">
        <v>1175</v>
      </c>
      <c r="H227" t="s">
        <v>40</v>
      </c>
      <c r="I227" s="4">
        <v>15954.45409178789</v>
      </c>
      <c r="J227">
        <v>155</v>
      </c>
      <c r="K227" t="s">
        <v>34</v>
      </c>
      <c r="L227" s="6">
        <v>45362</v>
      </c>
      <c r="M227" t="s">
        <v>51</v>
      </c>
      <c r="N227" t="s">
        <v>1747</v>
      </c>
      <c r="O227" t="s">
        <v>114</v>
      </c>
      <c r="P227">
        <v>6</v>
      </c>
      <c r="Q227" t="s">
        <v>45</v>
      </c>
    </row>
    <row r="228" spans="1:17">
      <c r="A228">
        <v>22</v>
      </c>
      <c r="B228" t="s">
        <v>138</v>
      </c>
      <c r="C228" t="s">
        <v>145</v>
      </c>
      <c r="D228" t="s">
        <v>32</v>
      </c>
      <c r="E228" s="6">
        <v>45372</v>
      </c>
      <c r="F228" t="s">
        <v>373</v>
      </c>
      <c r="G228" t="s">
        <v>1176</v>
      </c>
      <c r="H228" t="s">
        <v>42</v>
      </c>
      <c r="I228" s="4">
        <v>13007.88736491442</v>
      </c>
      <c r="J228">
        <v>448</v>
      </c>
      <c r="K228" t="s">
        <v>36</v>
      </c>
      <c r="L228" s="6">
        <v>45401</v>
      </c>
      <c r="M228" t="s">
        <v>51</v>
      </c>
      <c r="N228" t="s">
        <v>1746</v>
      </c>
      <c r="O228" t="s">
        <v>114</v>
      </c>
      <c r="P228">
        <v>29</v>
      </c>
      <c r="Q228" t="s">
        <v>45</v>
      </c>
    </row>
    <row r="229" spans="1:17">
      <c r="A229">
        <v>60</v>
      </c>
      <c r="B229" t="s">
        <v>138</v>
      </c>
      <c r="C229" t="s">
        <v>144</v>
      </c>
      <c r="D229" t="s">
        <v>32</v>
      </c>
      <c r="E229" s="6">
        <v>45381</v>
      </c>
      <c r="F229" t="s">
        <v>374</v>
      </c>
      <c r="G229" t="s">
        <v>1177</v>
      </c>
      <c r="H229" t="s">
        <v>40</v>
      </c>
      <c r="I229" s="4">
        <v>35784.96264199825</v>
      </c>
      <c r="J229">
        <v>262</v>
      </c>
      <c r="K229" t="s">
        <v>35</v>
      </c>
      <c r="L229" s="6">
        <v>45383</v>
      </c>
      <c r="M229" t="s">
        <v>51</v>
      </c>
      <c r="N229" t="s">
        <v>1747</v>
      </c>
      <c r="O229" t="s">
        <v>114</v>
      </c>
      <c r="P229">
        <v>2</v>
      </c>
      <c r="Q229" t="s">
        <v>47</v>
      </c>
    </row>
    <row r="230" spans="1:17">
      <c r="A230">
        <v>72</v>
      </c>
      <c r="B230" t="s">
        <v>138</v>
      </c>
      <c r="C230" t="s">
        <v>141</v>
      </c>
      <c r="D230" t="s">
        <v>30</v>
      </c>
      <c r="E230" s="6">
        <v>45378</v>
      </c>
      <c r="F230" t="s">
        <v>375</v>
      </c>
      <c r="G230" t="s">
        <v>1178</v>
      </c>
      <c r="H230" t="s">
        <v>40</v>
      </c>
      <c r="I230" s="4">
        <v>13664.7843143988</v>
      </c>
      <c r="J230">
        <v>128</v>
      </c>
      <c r="K230" t="s">
        <v>35</v>
      </c>
      <c r="L230" s="6">
        <v>45404</v>
      </c>
      <c r="M230" t="s">
        <v>53</v>
      </c>
      <c r="N230" t="s">
        <v>1748</v>
      </c>
      <c r="O230" t="s">
        <v>114</v>
      </c>
      <c r="P230">
        <v>26</v>
      </c>
      <c r="Q230" t="s">
        <v>48</v>
      </c>
    </row>
    <row r="231" spans="1:17">
      <c r="A231">
        <v>38</v>
      </c>
      <c r="B231" t="s">
        <v>137</v>
      </c>
      <c r="C231" t="s">
        <v>140</v>
      </c>
      <c r="D231" t="s">
        <v>28</v>
      </c>
      <c r="E231" s="6">
        <v>45379</v>
      </c>
      <c r="F231" t="s">
        <v>376</v>
      </c>
      <c r="G231" t="s">
        <v>1179</v>
      </c>
      <c r="H231" t="s">
        <v>38</v>
      </c>
      <c r="I231" s="4">
        <v>31726.58679205951</v>
      </c>
      <c r="J231">
        <v>495</v>
      </c>
      <c r="K231" t="s">
        <v>34</v>
      </c>
      <c r="L231" s="6">
        <v>45382</v>
      </c>
      <c r="M231" t="s">
        <v>51</v>
      </c>
      <c r="N231" t="s">
        <v>1746</v>
      </c>
      <c r="O231" t="s">
        <v>114</v>
      </c>
      <c r="P231">
        <v>3</v>
      </c>
      <c r="Q231" t="s">
        <v>46</v>
      </c>
    </row>
    <row r="232" spans="1:17">
      <c r="A232">
        <v>72</v>
      </c>
      <c r="B232" t="s">
        <v>138</v>
      </c>
      <c r="C232" t="s">
        <v>139</v>
      </c>
      <c r="D232" t="s">
        <v>30</v>
      </c>
      <c r="E232" s="6">
        <v>45362</v>
      </c>
      <c r="F232" t="s">
        <v>377</v>
      </c>
      <c r="G232" t="s">
        <v>1180</v>
      </c>
      <c r="H232" t="s">
        <v>39</v>
      </c>
      <c r="I232" s="4">
        <v>1174.259651119451</v>
      </c>
      <c r="J232">
        <v>228</v>
      </c>
      <c r="K232" t="s">
        <v>35</v>
      </c>
      <c r="L232" s="6">
        <v>45385</v>
      </c>
      <c r="M232" t="s">
        <v>50</v>
      </c>
      <c r="N232" t="s">
        <v>1746</v>
      </c>
      <c r="O232" t="s">
        <v>114</v>
      </c>
      <c r="P232">
        <v>23</v>
      </c>
      <c r="Q232" t="s">
        <v>48</v>
      </c>
    </row>
    <row r="233" spans="1:17">
      <c r="A233">
        <v>75</v>
      </c>
      <c r="B233" t="s">
        <v>138</v>
      </c>
      <c r="C233" t="s">
        <v>145</v>
      </c>
      <c r="D233" t="s">
        <v>28</v>
      </c>
      <c r="E233" s="6">
        <v>45375</v>
      </c>
      <c r="F233" t="s">
        <v>378</v>
      </c>
      <c r="G233" t="s">
        <v>1181</v>
      </c>
      <c r="H233" t="s">
        <v>40</v>
      </c>
      <c r="I233" s="4">
        <v>39985.26537399091</v>
      </c>
      <c r="J233">
        <v>419</v>
      </c>
      <c r="K233" t="s">
        <v>34</v>
      </c>
      <c r="L233" s="6">
        <v>45393</v>
      </c>
      <c r="M233" t="s">
        <v>53</v>
      </c>
      <c r="N233" t="s">
        <v>1746</v>
      </c>
      <c r="O233" t="s">
        <v>114</v>
      </c>
      <c r="P233">
        <v>18</v>
      </c>
      <c r="Q233" t="s">
        <v>48</v>
      </c>
    </row>
    <row r="234" spans="1:17">
      <c r="A234">
        <v>37</v>
      </c>
      <c r="B234" t="s">
        <v>137</v>
      </c>
      <c r="C234" t="s">
        <v>146</v>
      </c>
      <c r="D234" t="s">
        <v>30</v>
      </c>
      <c r="E234" s="6">
        <v>45374</v>
      </c>
      <c r="F234" t="s">
        <v>379</v>
      </c>
      <c r="G234" t="s">
        <v>1182</v>
      </c>
      <c r="H234" t="s">
        <v>40</v>
      </c>
      <c r="I234" s="4">
        <v>25537.18121666956</v>
      </c>
      <c r="J234">
        <v>439</v>
      </c>
      <c r="K234" t="s">
        <v>34</v>
      </c>
      <c r="L234" s="6">
        <v>45376</v>
      </c>
      <c r="M234" t="s">
        <v>51</v>
      </c>
      <c r="N234" t="s">
        <v>1748</v>
      </c>
      <c r="O234" t="s">
        <v>114</v>
      </c>
      <c r="P234">
        <v>2</v>
      </c>
      <c r="Q234" t="s">
        <v>46</v>
      </c>
    </row>
    <row r="235" spans="1:17">
      <c r="A235">
        <v>61</v>
      </c>
      <c r="B235" t="s">
        <v>138</v>
      </c>
      <c r="C235" t="s">
        <v>146</v>
      </c>
      <c r="D235" t="s">
        <v>28</v>
      </c>
      <c r="E235" s="6">
        <v>45376</v>
      </c>
      <c r="F235" t="s">
        <v>380</v>
      </c>
      <c r="G235" t="s">
        <v>1183</v>
      </c>
      <c r="H235" t="s">
        <v>41</v>
      </c>
      <c r="I235" s="4">
        <v>6247.762543489733</v>
      </c>
      <c r="J235">
        <v>296</v>
      </c>
      <c r="K235" t="s">
        <v>34</v>
      </c>
      <c r="L235" s="6">
        <v>45388</v>
      </c>
      <c r="M235" t="s">
        <v>50</v>
      </c>
      <c r="N235" t="s">
        <v>1747</v>
      </c>
      <c r="O235" t="s">
        <v>114</v>
      </c>
      <c r="P235">
        <v>12</v>
      </c>
      <c r="Q235" t="s">
        <v>47</v>
      </c>
    </row>
    <row r="236" spans="1:17">
      <c r="A236">
        <v>67</v>
      </c>
      <c r="B236" t="s">
        <v>138</v>
      </c>
      <c r="C236" t="s">
        <v>145</v>
      </c>
      <c r="D236" t="s">
        <v>27</v>
      </c>
      <c r="E236" s="6">
        <v>45366</v>
      </c>
      <c r="F236" t="s">
        <v>381</v>
      </c>
      <c r="G236" t="s">
        <v>1184</v>
      </c>
      <c r="H236" t="s">
        <v>42</v>
      </c>
      <c r="I236" s="4">
        <v>29173.60953733648</v>
      </c>
      <c r="J236">
        <v>399</v>
      </c>
      <c r="K236" t="s">
        <v>34</v>
      </c>
      <c r="L236" s="6">
        <v>45388</v>
      </c>
      <c r="M236" t="s">
        <v>53</v>
      </c>
      <c r="N236" t="s">
        <v>1747</v>
      </c>
      <c r="O236" t="s">
        <v>114</v>
      </c>
      <c r="P236">
        <v>22</v>
      </c>
      <c r="Q236" t="s">
        <v>48</v>
      </c>
    </row>
    <row r="237" spans="1:17">
      <c r="A237">
        <v>60</v>
      </c>
      <c r="B237" t="s">
        <v>137</v>
      </c>
      <c r="C237" t="s">
        <v>142</v>
      </c>
      <c r="D237" t="s">
        <v>28</v>
      </c>
      <c r="E237" s="6">
        <v>45367</v>
      </c>
      <c r="F237" t="s">
        <v>382</v>
      </c>
      <c r="G237" t="s">
        <v>1185</v>
      </c>
      <c r="H237" t="s">
        <v>38</v>
      </c>
      <c r="I237" s="4">
        <v>4064.130646809743</v>
      </c>
      <c r="J237">
        <v>165</v>
      </c>
      <c r="K237" t="s">
        <v>35</v>
      </c>
      <c r="L237" s="6">
        <v>45382</v>
      </c>
      <c r="M237" t="s">
        <v>52</v>
      </c>
      <c r="N237" t="s">
        <v>1746</v>
      </c>
      <c r="O237" t="s">
        <v>114</v>
      </c>
      <c r="P237">
        <v>15</v>
      </c>
      <c r="Q237" t="s">
        <v>47</v>
      </c>
    </row>
    <row r="238" spans="1:17">
      <c r="A238">
        <v>50</v>
      </c>
      <c r="B238" t="s">
        <v>137</v>
      </c>
      <c r="C238" t="s">
        <v>145</v>
      </c>
      <c r="D238" t="s">
        <v>32</v>
      </c>
      <c r="E238" s="6">
        <v>45359</v>
      </c>
      <c r="F238" t="s">
        <v>383</v>
      </c>
      <c r="G238" t="s">
        <v>1186</v>
      </c>
      <c r="H238" t="s">
        <v>39</v>
      </c>
      <c r="I238" s="4">
        <v>5377.568303456951</v>
      </c>
      <c r="J238">
        <v>491</v>
      </c>
      <c r="K238" t="s">
        <v>36</v>
      </c>
      <c r="L238" s="6">
        <v>45382</v>
      </c>
      <c r="M238" t="s">
        <v>52</v>
      </c>
      <c r="N238" t="s">
        <v>1747</v>
      </c>
      <c r="O238" t="s">
        <v>114</v>
      </c>
      <c r="P238">
        <v>23</v>
      </c>
      <c r="Q238" t="s">
        <v>46</v>
      </c>
    </row>
    <row r="239" spans="1:17">
      <c r="A239">
        <v>62</v>
      </c>
      <c r="B239" t="s">
        <v>138</v>
      </c>
      <c r="C239" t="s">
        <v>145</v>
      </c>
      <c r="D239" t="s">
        <v>29</v>
      </c>
      <c r="E239" s="6">
        <v>45361</v>
      </c>
      <c r="F239" t="s">
        <v>384</v>
      </c>
      <c r="G239" t="s">
        <v>1187</v>
      </c>
      <c r="H239" t="s">
        <v>38</v>
      </c>
      <c r="I239" s="4">
        <v>27790.17435513116</v>
      </c>
      <c r="J239">
        <v>189</v>
      </c>
      <c r="K239" t="s">
        <v>36</v>
      </c>
      <c r="L239" s="6">
        <v>45386</v>
      </c>
      <c r="M239" t="s">
        <v>51</v>
      </c>
      <c r="N239" t="s">
        <v>1747</v>
      </c>
      <c r="O239" t="s">
        <v>114</v>
      </c>
      <c r="P239">
        <v>25</v>
      </c>
      <c r="Q239" t="s">
        <v>47</v>
      </c>
    </row>
    <row r="240" spans="1:17">
      <c r="A240">
        <v>82</v>
      </c>
      <c r="B240" t="s">
        <v>138</v>
      </c>
      <c r="C240" t="s">
        <v>142</v>
      </c>
      <c r="D240" t="s">
        <v>30</v>
      </c>
      <c r="E240" s="6">
        <v>45369</v>
      </c>
      <c r="F240" t="s">
        <v>385</v>
      </c>
      <c r="G240" t="s">
        <v>1188</v>
      </c>
      <c r="H240" t="s">
        <v>40</v>
      </c>
      <c r="I240" s="4">
        <v>15291.226692272</v>
      </c>
      <c r="J240">
        <v>367</v>
      </c>
      <c r="K240" t="s">
        <v>36</v>
      </c>
      <c r="L240" s="6">
        <v>45381</v>
      </c>
      <c r="M240" t="s">
        <v>51</v>
      </c>
      <c r="N240" t="s">
        <v>1747</v>
      </c>
      <c r="O240" t="s">
        <v>114</v>
      </c>
      <c r="P240">
        <v>12</v>
      </c>
      <c r="Q240" t="s">
        <v>48</v>
      </c>
    </row>
    <row r="241" spans="1:17">
      <c r="A241">
        <v>18</v>
      </c>
      <c r="B241" t="s">
        <v>137</v>
      </c>
      <c r="C241" t="s">
        <v>141</v>
      </c>
      <c r="D241" t="s">
        <v>29</v>
      </c>
      <c r="E241" s="6">
        <v>45376</v>
      </c>
      <c r="F241" t="s">
        <v>386</v>
      </c>
      <c r="G241" t="s">
        <v>1189</v>
      </c>
      <c r="H241" t="s">
        <v>41</v>
      </c>
      <c r="I241" s="4">
        <v>31797.31971943655</v>
      </c>
      <c r="J241">
        <v>447</v>
      </c>
      <c r="K241" t="s">
        <v>35</v>
      </c>
      <c r="L241" s="6">
        <v>45388</v>
      </c>
      <c r="M241" t="s">
        <v>52</v>
      </c>
      <c r="N241" t="s">
        <v>1746</v>
      </c>
      <c r="O241" t="s">
        <v>114</v>
      </c>
      <c r="P241">
        <v>12</v>
      </c>
      <c r="Q241" t="s">
        <v>44</v>
      </c>
    </row>
    <row r="242" spans="1:17">
      <c r="A242">
        <v>27</v>
      </c>
      <c r="B242" t="s">
        <v>137</v>
      </c>
      <c r="C242" t="s">
        <v>145</v>
      </c>
      <c r="D242" t="s">
        <v>28</v>
      </c>
      <c r="E242" s="6">
        <v>45367</v>
      </c>
      <c r="F242" t="s">
        <v>387</v>
      </c>
      <c r="G242" t="s">
        <v>1190</v>
      </c>
      <c r="H242" t="s">
        <v>39</v>
      </c>
      <c r="I242" s="4">
        <v>42570.08781609065</v>
      </c>
      <c r="J242">
        <v>294</v>
      </c>
      <c r="K242" t="s">
        <v>36</v>
      </c>
      <c r="L242" s="6">
        <v>45397</v>
      </c>
      <c r="M242" t="s">
        <v>54</v>
      </c>
      <c r="N242" t="s">
        <v>1748</v>
      </c>
      <c r="O242" t="s">
        <v>114</v>
      </c>
      <c r="P242">
        <v>30</v>
      </c>
      <c r="Q242" t="s">
        <v>45</v>
      </c>
    </row>
    <row r="243" spans="1:17">
      <c r="A243">
        <v>82</v>
      </c>
      <c r="B243" t="s">
        <v>138</v>
      </c>
      <c r="C243" t="s">
        <v>140</v>
      </c>
      <c r="D243" t="s">
        <v>28</v>
      </c>
      <c r="E243" s="6">
        <v>45364</v>
      </c>
      <c r="F243" t="s">
        <v>388</v>
      </c>
      <c r="G243" t="s">
        <v>1191</v>
      </c>
      <c r="H243" t="s">
        <v>40</v>
      </c>
      <c r="I243" s="4">
        <v>24084.67109346678</v>
      </c>
      <c r="J243">
        <v>218</v>
      </c>
      <c r="K243" t="s">
        <v>36</v>
      </c>
      <c r="L243" s="6">
        <v>45389</v>
      </c>
      <c r="M243" t="s">
        <v>54</v>
      </c>
      <c r="N243" t="s">
        <v>1746</v>
      </c>
      <c r="O243" t="s">
        <v>114</v>
      </c>
      <c r="P243">
        <v>25</v>
      </c>
      <c r="Q243" t="s">
        <v>48</v>
      </c>
    </row>
    <row r="244" spans="1:17">
      <c r="A244">
        <v>78</v>
      </c>
      <c r="B244" t="s">
        <v>138</v>
      </c>
      <c r="C244" t="s">
        <v>143</v>
      </c>
      <c r="D244" t="s">
        <v>31</v>
      </c>
      <c r="E244" s="6">
        <v>45359</v>
      </c>
      <c r="F244" t="s">
        <v>389</v>
      </c>
      <c r="G244" t="s">
        <v>1192</v>
      </c>
      <c r="H244" t="s">
        <v>40</v>
      </c>
      <c r="I244" s="4">
        <v>11831.66640131826</v>
      </c>
      <c r="J244">
        <v>156</v>
      </c>
      <c r="K244" t="s">
        <v>36</v>
      </c>
      <c r="L244" s="6">
        <v>45377</v>
      </c>
      <c r="M244" t="s">
        <v>52</v>
      </c>
      <c r="N244" t="s">
        <v>1747</v>
      </c>
      <c r="O244" t="s">
        <v>114</v>
      </c>
      <c r="P244">
        <v>18</v>
      </c>
      <c r="Q244" t="s">
        <v>48</v>
      </c>
    </row>
    <row r="245" spans="1:17">
      <c r="A245">
        <v>46</v>
      </c>
      <c r="B245" t="s">
        <v>138</v>
      </c>
      <c r="C245" t="s">
        <v>146</v>
      </c>
      <c r="D245" t="s">
        <v>28</v>
      </c>
      <c r="E245" s="6">
        <v>45359</v>
      </c>
      <c r="F245" t="s">
        <v>390</v>
      </c>
      <c r="G245" t="s">
        <v>1193</v>
      </c>
      <c r="H245" t="s">
        <v>41</v>
      </c>
      <c r="I245" s="4">
        <v>4050.57816756783</v>
      </c>
      <c r="J245">
        <v>153</v>
      </c>
      <c r="K245" t="s">
        <v>36</v>
      </c>
      <c r="L245" s="6">
        <v>45378</v>
      </c>
      <c r="M245" t="s">
        <v>54</v>
      </c>
      <c r="N245" t="s">
        <v>1746</v>
      </c>
      <c r="O245" t="s">
        <v>114</v>
      </c>
      <c r="P245">
        <v>19</v>
      </c>
      <c r="Q245" t="s">
        <v>46</v>
      </c>
    </row>
    <row r="246" spans="1:17">
      <c r="A246">
        <v>76</v>
      </c>
      <c r="B246" t="s">
        <v>137</v>
      </c>
      <c r="C246" t="s">
        <v>140</v>
      </c>
      <c r="D246" t="s">
        <v>30</v>
      </c>
      <c r="E246" s="6">
        <v>45370</v>
      </c>
      <c r="F246" t="s">
        <v>391</v>
      </c>
      <c r="G246" t="s">
        <v>1194</v>
      </c>
      <c r="H246" t="s">
        <v>41</v>
      </c>
      <c r="I246" s="4">
        <v>19252.86467557458</v>
      </c>
      <c r="J246">
        <v>297</v>
      </c>
      <c r="K246" t="s">
        <v>36</v>
      </c>
      <c r="L246" s="6">
        <v>45396</v>
      </c>
      <c r="M246" t="s">
        <v>53</v>
      </c>
      <c r="N246" t="s">
        <v>1746</v>
      </c>
      <c r="O246" t="s">
        <v>114</v>
      </c>
      <c r="P246">
        <v>26</v>
      </c>
      <c r="Q246" t="s">
        <v>48</v>
      </c>
    </row>
    <row r="247" spans="1:17">
      <c r="A247">
        <v>78</v>
      </c>
      <c r="B247" t="s">
        <v>137</v>
      </c>
      <c r="C247" t="s">
        <v>141</v>
      </c>
      <c r="D247" t="s">
        <v>31</v>
      </c>
      <c r="E247" s="6">
        <v>45352</v>
      </c>
      <c r="F247" t="s">
        <v>392</v>
      </c>
      <c r="G247" t="s">
        <v>1195</v>
      </c>
      <c r="H247" t="s">
        <v>42</v>
      </c>
      <c r="I247" s="4">
        <v>20415.05867624017</v>
      </c>
      <c r="J247">
        <v>194</v>
      </c>
      <c r="K247" t="s">
        <v>34</v>
      </c>
      <c r="L247" s="6">
        <v>45376</v>
      </c>
      <c r="M247" t="s">
        <v>52</v>
      </c>
      <c r="N247" t="s">
        <v>1748</v>
      </c>
      <c r="O247" t="s">
        <v>114</v>
      </c>
      <c r="P247">
        <v>24</v>
      </c>
      <c r="Q247" t="s">
        <v>48</v>
      </c>
    </row>
    <row r="248" spans="1:17">
      <c r="A248">
        <v>63</v>
      </c>
      <c r="B248" t="s">
        <v>138</v>
      </c>
      <c r="C248" t="s">
        <v>141</v>
      </c>
      <c r="D248" t="s">
        <v>30</v>
      </c>
      <c r="E248" s="6">
        <v>45366</v>
      </c>
      <c r="F248" t="s">
        <v>393</v>
      </c>
      <c r="G248" t="s">
        <v>1196</v>
      </c>
      <c r="H248" t="s">
        <v>42</v>
      </c>
      <c r="I248" s="4">
        <v>27073.72654297768</v>
      </c>
      <c r="J248">
        <v>363</v>
      </c>
      <c r="K248" t="s">
        <v>36</v>
      </c>
      <c r="L248" s="6">
        <v>45370</v>
      </c>
      <c r="M248" t="s">
        <v>51</v>
      </c>
      <c r="N248" t="s">
        <v>1747</v>
      </c>
      <c r="O248" t="s">
        <v>114</v>
      </c>
      <c r="P248">
        <v>4</v>
      </c>
      <c r="Q248" t="s">
        <v>47</v>
      </c>
    </row>
    <row r="249" spans="1:17">
      <c r="A249">
        <v>79</v>
      </c>
      <c r="B249" t="s">
        <v>138</v>
      </c>
      <c r="C249" t="s">
        <v>141</v>
      </c>
      <c r="D249" t="s">
        <v>27</v>
      </c>
      <c r="E249" s="6">
        <v>45380</v>
      </c>
      <c r="F249" t="s">
        <v>394</v>
      </c>
      <c r="G249" t="s">
        <v>1197</v>
      </c>
      <c r="H249" t="s">
        <v>40</v>
      </c>
      <c r="I249" s="4">
        <v>45248.91266681549</v>
      </c>
      <c r="J249">
        <v>384</v>
      </c>
      <c r="K249" t="s">
        <v>34</v>
      </c>
      <c r="L249" s="6">
        <v>45393</v>
      </c>
      <c r="M249" t="s">
        <v>54</v>
      </c>
      <c r="N249" t="s">
        <v>1748</v>
      </c>
      <c r="O249" t="s">
        <v>114</v>
      </c>
      <c r="P249">
        <v>13</v>
      </c>
      <c r="Q249" t="s">
        <v>48</v>
      </c>
    </row>
    <row r="250" spans="1:17">
      <c r="A250">
        <v>81</v>
      </c>
      <c r="B250" t="s">
        <v>137</v>
      </c>
      <c r="C250" t="s">
        <v>141</v>
      </c>
      <c r="D250" t="s">
        <v>27</v>
      </c>
      <c r="E250" s="6">
        <v>45373</v>
      </c>
      <c r="F250" t="s">
        <v>395</v>
      </c>
      <c r="G250" t="s">
        <v>1198</v>
      </c>
      <c r="H250" t="s">
        <v>38</v>
      </c>
      <c r="I250" s="4">
        <v>32396.89898800484</v>
      </c>
      <c r="J250">
        <v>144</v>
      </c>
      <c r="K250" t="s">
        <v>36</v>
      </c>
      <c r="L250" s="6">
        <v>45402</v>
      </c>
      <c r="M250" t="s">
        <v>52</v>
      </c>
      <c r="N250" t="s">
        <v>1747</v>
      </c>
      <c r="O250" t="s">
        <v>114</v>
      </c>
      <c r="P250">
        <v>29</v>
      </c>
      <c r="Q250" t="s">
        <v>48</v>
      </c>
    </row>
    <row r="251" spans="1:17">
      <c r="A251">
        <v>78</v>
      </c>
      <c r="B251" t="s">
        <v>137</v>
      </c>
      <c r="C251" t="s">
        <v>146</v>
      </c>
      <c r="D251" t="s">
        <v>30</v>
      </c>
      <c r="E251" s="6">
        <v>45376</v>
      </c>
      <c r="F251" t="s">
        <v>396</v>
      </c>
      <c r="G251" t="s">
        <v>1199</v>
      </c>
      <c r="H251" t="s">
        <v>38</v>
      </c>
      <c r="I251" s="4">
        <v>21641.00809273835</v>
      </c>
      <c r="J251">
        <v>156</v>
      </c>
      <c r="K251" t="s">
        <v>36</v>
      </c>
      <c r="L251" s="6">
        <v>45402</v>
      </c>
      <c r="M251" t="s">
        <v>51</v>
      </c>
      <c r="N251" t="s">
        <v>1747</v>
      </c>
      <c r="O251" t="s">
        <v>114</v>
      </c>
      <c r="P251">
        <v>26</v>
      </c>
      <c r="Q251" t="s">
        <v>48</v>
      </c>
    </row>
    <row r="252" spans="1:17">
      <c r="A252">
        <v>65</v>
      </c>
      <c r="B252" t="s">
        <v>137</v>
      </c>
      <c r="C252" t="s">
        <v>140</v>
      </c>
      <c r="D252" t="s">
        <v>30</v>
      </c>
      <c r="E252" s="6">
        <v>45356</v>
      </c>
      <c r="F252" t="s">
        <v>397</v>
      </c>
      <c r="G252" t="s">
        <v>1200</v>
      </c>
      <c r="H252" t="s">
        <v>42</v>
      </c>
      <c r="I252" s="4">
        <v>17151.37195091954</v>
      </c>
      <c r="J252">
        <v>239</v>
      </c>
      <c r="K252" t="s">
        <v>34</v>
      </c>
      <c r="L252" s="6">
        <v>45385</v>
      </c>
      <c r="M252" t="s">
        <v>52</v>
      </c>
      <c r="N252" t="s">
        <v>1748</v>
      </c>
      <c r="O252" t="s">
        <v>114</v>
      </c>
      <c r="P252">
        <v>29</v>
      </c>
      <c r="Q252" t="s">
        <v>47</v>
      </c>
    </row>
    <row r="253" spans="1:17">
      <c r="A253">
        <v>20</v>
      </c>
      <c r="B253" t="s">
        <v>137</v>
      </c>
      <c r="C253" t="s">
        <v>145</v>
      </c>
      <c r="D253" t="s">
        <v>29</v>
      </c>
      <c r="E253" s="6">
        <v>45352</v>
      </c>
      <c r="F253" t="s">
        <v>398</v>
      </c>
      <c r="G253" t="s">
        <v>1201</v>
      </c>
      <c r="H253" t="s">
        <v>42</v>
      </c>
      <c r="I253" s="4">
        <v>37618.32761659155</v>
      </c>
      <c r="J253">
        <v>218</v>
      </c>
      <c r="K253" t="s">
        <v>35</v>
      </c>
      <c r="L253" s="6">
        <v>45372</v>
      </c>
      <c r="M253" t="s">
        <v>54</v>
      </c>
      <c r="N253" t="s">
        <v>1748</v>
      </c>
      <c r="O253" t="s">
        <v>114</v>
      </c>
      <c r="P253">
        <v>20</v>
      </c>
      <c r="Q253" t="s">
        <v>45</v>
      </c>
    </row>
    <row r="254" spans="1:17">
      <c r="A254">
        <v>20</v>
      </c>
      <c r="B254" t="s">
        <v>138</v>
      </c>
      <c r="C254" t="s">
        <v>140</v>
      </c>
      <c r="D254" t="s">
        <v>28</v>
      </c>
      <c r="E254" s="6">
        <v>45376</v>
      </c>
      <c r="F254" t="s">
        <v>399</v>
      </c>
      <c r="G254" t="s">
        <v>1202</v>
      </c>
      <c r="H254" t="s">
        <v>41</v>
      </c>
      <c r="I254" s="4">
        <v>8542.680230927133</v>
      </c>
      <c r="J254">
        <v>106</v>
      </c>
      <c r="K254" t="s">
        <v>35</v>
      </c>
      <c r="L254" s="6">
        <v>45383</v>
      </c>
      <c r="M254" t="s">
        <v>54</v>
      </c>
      <c r="N254" t="s">
        <v>1747</v>
      </c>
      <c r="O254" t="s">
        <v>114</v>
      </c>
      <c r="P254">
        <v>7</v>
      </c>
      <c r="Q254" t="s">
        <v>45</v>
      </c>
    </row>
    <row r="255" spans="1:17">
      <c r="A255">
        <v>33</v>
      </c>
      <c r="B255" t="s">
        <v>138</v>
      </c>
      <c r="C255" t="s">
        <v>144</v>
      </c>
      <c r="D255" t="s">
        <v>29</v>
      </c>
      <c r="E255" s="6">
        <v>45380</v>
      </c>
      <c r="F255" t="s">
        <v>400</v>
      </c>
      <c r="G255" t="s">
        <v>1203</v>
      </c>
      <c r="H255" t="s">
        <v>39</v>
      </c>
      <c r="I255" s="4">
        <v>17978.74966314938</v>
      </c>
      <c r="J255">
        <v>483</v>
      </c>
      <c r="K255" t="s">
        <v>34</v>
      </c>
      <c r="L255" s="6">
        <v>45401</v>
      </c>
      <c r="M255" t="s">
        <v>54</v>
      </c>
      <c r="N255" t="s">
        <v>1748</v>
      </c>
      <c r="O255" t="s">
        <v>114</v>
      </c>
      <c r="P255">
        <v>21</v>
      </c>
      <c r="Q255" t="s">
        <v>45</v>
      </c>
    </row>
    <row r="256" spans="1:17">
      <c r="A256">
        <v>63</v>
      </c>
      <c r="B256" t="s">
        <v>138</v>
      </c>
      <c r="C256" t="s">
        <v>142</v>
      </c>
      <c r="D256" t="s">
        <v>27</v>
      </c>
      <c r="E256" s="6">
        <v>45359</v>
      </c>
      <c r="F256" t="s">
        <v>401</v>
      </c>
      <c r="G256" t="s">
        <v>1204</v>
      </c>
      <c r="H256" t="s">
        <v>38</v>
      </c>
      <c r="I256" s="4">
        <v>18027.19472013429</v>
      </c>
      <c r="J256">
        <v>111</v>
      </c>
      <c r="K256" t="s">
        <v>34</v>
      </c>
      <c r="L256" s="6">
        <v>45385</v>
      </c>
      <c r="M256" t="s">
        <v>51</v>
      </c>
      <c r="N256" t="s">
        <v>1747</v>
      </c>
      <c r="O256" t="s">
        <v>114</v>
      </c>
      <c r="P256">
        <v>26</v>
      </c>
      <c r="Q256" t="s">
        <v>47</v>
      </c>
    </row>
    <row r="257" spans="1:17">
      <c r="A257">
        <v>27</v>
      </c>
      <c r="B257" t="s">
        <v>138</v>
      </c>
      <c r="C257" t="s">
        <v>144</v>
      </c>
      <c r="D257" t="s">
        <v>29</v>
      </c>
      <c r="E257" s="6">
        <v>45370</v>
      </c>
      <c r="F257" t="s">
        <v>402</v>
      </c>
      <c r="G257" t="s">
        <v>1205</v>
      </c>
      <c r="H257" t="s">
        <v>41</v>
      </c>
      <c r="I257" s="4">
        <v>48018.43062534994</v>
      </c>
      <c r="J257">
        <v>431</v>
      </c>
      <c r="K257" t="s">
        <v>35</v>
      </c>
      <c r="L257" s="6">
        <v>45379</v>
      </c>
      <c r="M257" t="s">
        <v>52</v>
      </c>
      <c r="N257" t="s">
        <v>1748</v>
      </c>
      <c r="O257" t="s">
        <v>114</v>
      </c>
      <c r="P257">
        <v>9</v>
      </c>
      <c r="Q257" t="s">
        <v>45</v>
      </c>
    </row>
    <row r="258" spans="1:17">
      <c r="A258">
        <v>82</v>
      </c>
      <c r="B258" t="s">
        <v>137</v>
      </c>
      <c r="C258" t="s">
        <v>139</v>
      </c>
      <c r="D258" t="s">
        <v>28</v>
      </c>
      <c r="E258" s="6">
        <v>45362</v>
      </c>
      <c r="F258" t="s">
        <v>403</v>
      </c>
      <c r="G258" t="s">
        <v>1206</v>
      </c>
      <c r="H258" t="s">
        <v>40</v>
      </c>
      <c r="I258" s="4">
        <v>20913.72812474771</v>
      </c>
      <c r="J258">
        <v>376</v>
      </c>
      <c r="K258" t="s">
        <v>36</v>
      </c>
      <c r="L258" s="6">
        <v>45376</v>
      </c>
      <c r="M258" t="s">
        <v>51</v>
      </c>
      <c r="N258" t="s">
        <v>1748</v>
      </c>
      <c r="O258" t="s">
        <v>114</v>
      </c>
      <c r="P258">
        <v>14</v>
      </c>
      <c r="Q258" t="s">
        <v>48</v>
      </c>
    </row>
    <row r="259" spans="1:17">
      <c r="A259">
        <v>47</v>
      </c>
      <c r="B259" t="s">
        <v>138</v>
      </c>
      <c r="C259" t="s">
        <v>142</v>
      </c>
      <c r="D259" t="s">
        <v>30</v>
      </c>
      <c r="E259" s="6">
        <v>45370</v>
      </c>
      <c r="F259" t="s">
        <v>404</v>
      </c>
      <c r="G259" t="s">
        <v>1207</v>
      </c>
      <c r="H259" t="s">
        <v>38</v>
      </c>
      <c r="I259" s="4">
        <v>35173.41532147289</v>
      </c>
      <c r="J259">
        <v>323</v>
      </c>
      <c r="K259" t="s">
        <v>36</v>
      </c>
      <c r="L259" s="6">
        <v>45388</v>
      </c>
      <c r="M259" t="s">
        <v>50</v>
      </c>
      <c r="N259" t="s">
        <v>1747</v>
      </c>
      <c r="O259" t="s">
        <v>114</v>
      </c>
      <c r="P259">
        <v>18</v>
      </c>
      <c r="Q259" t="s">
        <v>46</v>
      </c>
    </row>
    <row r="260" spans="1:17">
      <c r="A260">
        <v>59</v>
      </c>
      <c r="B260" t="s">
        <v>137</v>
      </c>
      <c r="C260" t="s">
        <v>143</v>
      </c>
      <c r="D260" t="s">
        <v>31</v>
      </c>
      <c r="E260" s="6">
        <v>45357</v>
      </c>
      <c r="F260" t="s">
        <v>405</v>
      </c>
      <c r="G260" t="s">
        <v>1208</v>
      </c>
      <c r="H260" t="s">
        <v>41</v>
      </c>
      <c r="I260" s="4">
        <v>24076.27295817542</v>
      </c>
      <c r="J260">
        <v>375</v>
      </c>
      <c r="K260" t="s">
        <v>34</v>
      </c>
      <c r="L260" s="6">
        <v>45373</v>
      </c>
      <c r="M260" t="s">
        <v>50</v>
      </c>
      <c r="N260" t="s">
        <v>1746</v>
      </c>
      <c r="O260" t="s">
        <v>114</v>
      </c>
      <c r="P260">
        <v>16</v>
      </c>
      <c r="Q260" t="s">
        <v>47</v>
      </c>
    </row>
    <row r="261" spans="1:17">
      <c r="A261">
        <v>85</v>
      </c>
      <c r="B261" t="s">
        <v>138</v>
      </c>
      <c r="C261" t="s">
        <v>146</v>
      </c>
      <c r="D261" t="s">
        <v>27</v>
      </c>
      <c r="E261" s="6">
        <v>45358</v>
      </c>
      <c r="F261" t="s">
        <v>406</v>
      </c>
      <c r="G261" t="s">
        <v>1209</v>
      </c>
      <c r="H261" t="s">
        <v>38</v>
      </c>
      <c r="I261" s="4">
        <v>14843.248700992</v>
      </c>
      <c r="J261">
        <v>322</v>
      </c>
      <c r="K261" t="s">
        <v>36</v>
      </c>
      <c r="L261" s="6">
        <v>45388</v>
      </c>
      <c r="M261" t="s">
        <v>50</v>
      </c>
      <c r="N261" t="s">
        <v>1748</v>
      </c>
      <c r="O261" t="s">
        <v>114</v>
      </c>
      <c r="P261">
        <v>30</v>
      </c>
      <c r="Q261" t="s">
        <v>48</v>
      </c>
    </row>
    <row r="262" spans="1:17">
      <c r="A262">
        <v>21</v>
      </c>
      <c r="B262" t="s">
        <v>137</v>
      </c>
      <c r="C262" t="s">
        <v>141</v>
      </c>
      <c r="D262" t="s">
        <v>29</v>
      </c>
      <c r="E262" s="6">
        <v>45370</v>
      </c>
      <c r="F262" t="s">
        <v>407</v>
      </c>
      <c r="G262" t="s">
        <v>1210</v>
      </c>
      <c r="H262" t="s">
        <v>38</v>
      </c>
      <c r="I262" s="4">
        <v>36525.10962497948</v>
      </c>
      <c r="J262">
        <v>277</v>
      </c>
      <c r="K262" t="s">
        <v>36</v>
      </c>
      <c r="L262" s="6">
        <v>45379</v>
      </c>
      <c r="M262" t="s">
        <v>53</v>
      </c>
      <c r="N262" t="s">
        <v>1748</v>
      </c>
      <c r="O262" t="s">
        <v>114</v>
      </c>
      <c r="P262">
        <v>9</v>
      </c>
      <c r="Q262" t="s">
        <v>45</v>
      </c>
    </row>
    <row r="263" spans="1:17">
      <c r="A263">
        <v>38</v>
      </c>
      <c r="B263" t="s">
        <v>138</v>
      </c>
      <c r="C263" t="s">
        <v>145</v>
      </c>
      <c r="D263" t="s">
        <v>28</v>
      </c>
      <c r="E263" s="6">
        <v>45382</v>
      </c>
      <c r="F263" t="s">
        <v>408</v>
      </c>
      <c r="G263" t="s">
        <v>1211</v>
      </c>
      <c r="H263" t="s">
        <v>40</v>
      </c>
      <c r="I263" s="4">
        <v>44774.2815601657</v>
      </c>
      <c r="J263">
        <v>334</v>
      </c>
      <c r="K263" t="s">
        <v>36</v>
      </c>
      <c r="L263" s="6">
        <v>45391</v>
      </c>
      <c r="M263" t="s">
        <v>53</v>
      </c>
      <c r="N263" t="s">
        <v>1747</v>
      </c>
      <c r="O263" t="s">
        <v>114</v>
      </c>
      <c r="P263">
        <v>9</v>
      </c>
      <c r="Q263" t="s">
        <v>46</v>
      </c>
    </row>
    <row r="264" spans="1:17">
      <c r="A264">
        <v>46</v>
      </c>
      <c r="B264" t="s">
        <v>137</v>
      </c>
      <c r="C264" t="s">
        <v>139</v>
      </c>
      <c r="D264" t="s">
        <v>31</v>
      </c>
      <c r="E264" s="6">
        <v>45373</v>
      </c>
      <c r="F264" t="s">
        <v>409</v>
      </c>
      <c r="G264" t="s">
        <v>1212</v>
      </c>
      <c r="H264" t="s">
        <v>42</v>
      </c>
      <c r="I264" s="4">
        <v>42044.58871523009</v>
      </c>
      <c r="J264">
        <v>479</v>
      </c>
      <c r="K264" t="s">
        <v>35</v>
      </c>
      <c r="L264" s="6">
        <v>45386</v>
      </c>
      <c r="M264" t="s">
        <v>51</v>
      </c>
      <c r="N264" t="s">
        <v>1747</v>
      </c>
      <c r="O264" t="s">
        <v>114</v>
      </c>
      <c r="P264">
        <v>13</v>
      </c>
      <c r="Q264" t="s">
        <v>46</v>
      </c>
    </row>
    <row r="265" spans="1:17">
      <c r="A265">
        <v>34</v>
      </c>
      <c r="B265" t="s">
        <v>138</v>
      </c>
      <c r="C265" t="s">
        <v>140</v>
      </c>
      <c r="D265" t="s">
        <v>29</v>
      </c>
      <c r="E265" s="6">
        <v>45373</v>
      </c>
      <c r="F265" t="s">
        <v>410</v>
      </c>
      <c r="G265" t="s">
        <v>1213</v>
      </c>
      <c r="H265" t="s">
        <v>39</v>
      </c>
      <c r="I265" s="4">
        <v>9185.672185198346</v>
      </c>
      <c r="J265">
        <v>402</v>
      </c>
      <c r="K265" t="s">
        <v>35</v>
      </c>
      <c r="L265" s="6">
        <v>45397</v>
      </c>
      <c r="M265" t="s">
        <v>52</v>
      </c>
      <c r="N265" t="s">
        <v>1748</v>
      </c>
      <c r="O265" t="s">
        <v>114</v>
      </c>
      <c r="P265">
        <v>24</v>
      </c>
      <c r="Q265" t="s">
        <v>45</v>
      </c>
    </row>
    <row r="266" spans="1:17">
      <c r="A266">
        <v>65</v>
      </c>
      <c r="B266" t="s">
        <v>137</v>
      </c>
      <c r="C266" t="s">
        <v>141</v>
      </c>
      <c r="D266" t="s">
        <v>30</v>
      </c>
      <c r="E266" s="6">
        <v>45362</v>
      </c>
      <c r="F266" t="s">
        <v>411</v>
      </c>
      <c r="G266" t="s">
        <v>1214</v>
      </c>
      <c r="H266" t="s">
        <v>38</v>
      </c>
      <c r="I266" s="4">
        <v>20589.95367194735</v>
      </c>
      <c r="J266">
        <v>472</v>
      </c>
      <c r="K266" t="s">
        <v>36</v>
      </c>
      <c r="L266" s="6">
        <v>45374</v>
      </c>
      <c r="M266" t="s">
        <v>50</v>
      </c>
      <c r="N266" t="s">
        <v>1747</v>
      </c>
      <c r="O266" t="s">
        <v>114</v>
      </c>
      <c r="P266">
        <v>12</v>
      </c>
      <c r="Q266" t="s">
        <v>47</v>
      </c>
    </row>
    <row r="267" spans="1:17">
      <c r="A267">
        <v>74</v>
      </c>
      <c r="B267" t="s">
        <v>138</v>
      </c>
      <c r="C267" t="s">
        <v>145</v>
      </c>
      <c r="D267" t="s">
        <v>30</v>
      </c>
      <c r="E267" s="6">
        <v>45358</v>
      </c>
      <c r="F267" t="s">
        <v>412</v>
      </c>
      <c r="G267" t="s">
        <v>1215</v>
      </c>
      <c r="H267" t="s">
        <v>38</v>
      </c>
      <c r="I267" s="4">
        <v>41340.73643536705</v>
      </c>
      <c r="J267">
        <v>334</v>
      </c>
      <c r="K267" t="s">
        <v>36</v>
      </c>
      <c r="L267" s="6">
        <v>45362</v>
      </c>
      <c r="M267" t="s">
        <v>53</v>
      </c>
      <c r="N267" t="s">
        <v>1748</v>
      </c>
      <c r="O267" t="s">
        <v>114</v>
      </c>
      <c r="P267">
        <v>4</v>
      </c>
      <c r="Q267" t="s">
        <v>48</v>
      </c>
    </row>
    <row r="268" spans="1:17">
      <c r="A268">
        <v>31</v>
      </c>
      <c r="B268" t="s">
        <v>138</v>
      </c>
      <c r="C268" t="s">
        <v>139</v>
      </c>
      <c r="D268" t="s">
        <v>29</v>
      </c>
      <c r="E268" s="6">
        <v>45381</v>
      </c>
      <c r="F268" t="s">
        <v>413</v>
      </c>
      <c r="G268" t="s">
        <v>1216</v>
      </c>
      <c r="H268" t="s">
        <v>38</v>
      </c>
      <c r="I268" s="4">
        <v>23155.51227253277</v>
      </c>
      <c r="J268">
        <v>132</v>
      </c>
      <c r="K268" t="s">
        <v>35</v>
      </c>
      <c r="L268" s="6">
        <v>45399</v>
      </c>
      <c r="M268" t="s">
        <v>51</v>
      </c>
      <c r="N268" t="s">
        <v>1748</v>
      </c>
      <c r="O268" t="s">
        <v>114</v>
      </c>
      <c r="P268">
        <v>18</v>
      </c>
      <c r="Q268" t="s">
        <v>45</v>
      </c>
    </row>
    <row r="269" spans="1:17">
      <c r="A269">
        <v>72</v>
      </c>
      <c r="B269" t="s">
        <v>137</v>
      </c>
      <c r="C269" t="s">
        <v>146</v>
      </c>
      <c r="D269" t="s">
        <v>31</v>
      </c>
      <c r="E269" s="6">
        <v>45365</v>
      </c>
      <c r="F269" t="s">
        <v>414</v>
      </c>
      <c r="G269" t="s">
        <v>1217</v>
      </c>
      <c r="H269" t="s">
        <v>42</v>
      </c>
      <c r="I269" s="4">
        <v>10019.73947693146</v>
      </c>
      <c r="J269">
        <v>421</v>
      </c>
      <c r="K269" t="s">
        <v>34</v>
      </c>
      <c r="L269" s="6">
        <v>45374</v>
      </c>
      <c r="M269" t="s">
        <v>54</v>
      </c>
      <c r="N269" t="s">
        <v>1748</v>
      </c>
      <c r="O269" t="s">
        <v>114</v>
      </c>
      <c r="P269">
        <v>9</v>
      </c>
      <c r="Q269" t="s">
        <v>48</v>
      </c>
    </row>
    <row r="270" spans="1:17">
      <c r="A270">
        <v>43</v>
      </c>
      <c r="B270" t="s">
        <v>138</v>
      </c>
      <c r="C270" t="s">
        <v>141</v>
      </c>
      <c r="D270" t="s">
        <v>31</v>
      </c>
      <c r="E270" s="6">
        <v>45353</v>
      </c>
      <c r="F270" t="s">
        <v>415</v>
      </c>
      <c r="G270" t="s">
        <v>1218</v>
      </c>
      <c r="H270" t="s">
        <v>38</v>
      </c>
      <c r="I270" s="4">
        <v>49086.65932813301</v>
      </c>
      <c r="J270">
        <v>444</v>
      </c>
      <c r="K270" t="s">
        <v>34</v>
      </c>
      <c r="L270" s="6">
        <v>45363</v>
      </c>
      <c r="M270" t="s">
        <v>50</v>
      </c>
      <c r="N270" t="s">
        <v>1746</v>
      </c>
      <c r="O270" t="s">
        <v>114</v>
      </c>
      <c r="P270">
        <v>10</v>
      </c>
      <c r="Q270" t="s">
        <v>46</v>
      </c>
    </row>
    <row r="271" spans="1:17">
      <c r="A271">
        <v>65</v>
      </c>
      <c r="B271" t="s">
        <v>138</v>
      </c>
      <c r="C271" t="s">
        <v>142</v>
      </c>
      <c r="D271" t="s">
        <v>30</v>
      </c>
      <c r="E271" s="6">
        <v>45362</v>
      </c>
      <c r="F271" t="s">
        <v>416</v>
      </c>
      <c r="G271" t="s">
        <v>1219</v>
      </c>
      <c r="H271" t="s">
        <v>41</v>
      </c>
      <c r="I271" s="4">
        <v>29306.67836250573</v>
      </c>
      <c r="J271">
        <v>396</v>
      </c>
      <c r="K271" t="s">
        <v>34</v>
      </c>
      <c r="L271" s="6">
        <v>45366</v>
      </c>
      <c r="M271" t="s">
        <v>51</v>
      </c>
      <c r="N271" t="s">
        <v>1746</v>
      </c>
      <c r="O271" t="s">
        <v>114</v>
      </c>
      <c r="P271">
        <v>4</v>
      </c>
      <c r="Q271" t="s">
        <v>47</v>
      </c>
    </row>
    <row r="272" spans="1:17">
      <c r="A272">
        <v>50</v>
      </c>
      <c r="B272" t="s">
        <v>137</v>
      </c>
      <c r="C272" t="s">
        <v>140</v>
      </c>
      <c r="D272" t="s">
        <v>28</v>
      </c>
      <c r="E272" s="6">
        <v>45379</v>
      </c>
      <c r="F272" t="s">
        <v>417</v>
      </c>
      <c r="G272" t="s">
        <v>1220</v>
      </c>
      <c r="H272" t="s">
        <v>41</v>
      </c>
      <c r="I272" s="4">
        <v>33945.49963225949</v>
      </c>
      <c r="J272">
        <v>110</v>
      </c>
      <c r="K272" t="s">
        <v>34</v>
      </c>
      <c r="L272" s="6">
        <v>45381</v>
      </c>
      <c r="M272" t="s">
        <v>54</v>
      </c>
      <c r="N272" t="s">
        <v>1747</v>
      </c>
      <c r="O272" t="s">
        <v>114</v>
      </c>
      <c r="P272">
        <v>2</v>
      </c>
      <c r="Q272" t="s">
        <v>46</v>
      </c>
    </row>
    <row r="273" spans="1:17">
      <c r="A273">
        <v>69</v>
      </c>
      <c r="B273" t="s">
        <v>138</v>
      </c>
      <c r="C273" t="s">
        <v>146</v>
      </c>
      <c r="D273" t="s">
        <v>27</v>
      </c>
      <c r="E273" s="6">
        <v>45371</v>
      </c>
      <c r="F273" t="s">
        <v>418</v>
      </c>
      <c r="G273" t="s">
        <v>1221</v>
      </c>
      <c r="H273" t="s">
        <v>42</v>
      </c>
      <c r="I273" s="4">
        <v>16560.50436420081</v>
      </c>
      <c r="J273">
        <v>139</v>
      </c>
      <c r="K273" t="s">
        <v>34</v>
      </c>
      <c r="L273" s="6">
        <v>45373</v>
      </c>
      <c r="M273" t="s">
        <v>51</v>
      </c>
      <c r="N273" t="s">
        <v>1747</v>
      </c>
      <c r="O273" t="s">
        <v>114</v>
      </c>
      <c r="P273">
        <v>2</v>
      </c>
      <c r="Q273" t="s">
        <v>48</v>
      </c>
    </row>
    <row r="274" spans="1:17">
      <c r="A274">
        <v>58</v>
      </c>
      <c r="B274" t="s">
        <v>138</v>
      </c>
      <c r="C274" t="s">
        <v>140</v>
      </c>
      <c r="D274" t="s">
        <v>28</v>
      </c>
      <c r="E274" s="6">
        <v>45361</v>
      </c>
      <c r="F274" t="s">
        <v>419</v>
      </c>
      <c r="G274" t="s">
        <v>1222</v>
      </c>
      <c r="H274" t="s">
        <v>42</v>
      </c>
      <c r="I274" s="4">
        <v>42878.25336306541</v>
      </c>
      <c r="J274">
        <v>135</v>
      </c>
      <c r="K274" t="s">
        <v>34</v>
      </c>
      <c r="L274" s="6">
        <v>45371</v>
      </c>
      <c r="M274" t="s">
        <v>52</v>
      </c>
      <c r="N274" t="s">
        <v>1746</v>
      </c>
      <c r="O274" t="s">
        <v>114</v>
      </c>
      <c r="P274">
        <v>10</v>
      </c>
      <c r="Q274" t="s">
        <v>47</v>
      </c>
    </row>
    <row r="275" spans="1:17">
      <c r="A275">
        <v>26</v>
      </c>
      <c r="B275" t="s">
        <v>138</v>
      </c>
      <c r="C275" t="s">
        <v>140</v>
      </c>
      <c r="D275" t="s">
        <v>31</v>
      </c>
      <c r="E275" s="6">
        <v>45355</v>
      </c>
      <c r="F275" t="s">
        <v>420</v>
      </c>
      <c r="G275" t="s">
        <v>1223</v>
      </c>
      <c r="H275" t="s">
        <v>38</v>
      </c>
      <c r="I275" s="4">
        <v>31726.4444726198</v>
      </c>
      <c r="J275">
        <v>390</v>
      </c>
      <c r="K275" t="s">
        <v>35</v>
      </c>
      <c r="L275" s="6">
        <v>45369</v>
      </c>
      <c r="M275" t="s">
        <v>51</v>
      </c>
      <c r="N275" t="s">
        <v>1746</v>
      </c>
      <c r="O275" t="s">
        <v>114</v>
      </c>
      <c r="P275">
        <v>14</v>
      </c>
      <c r="Q275" t="s">
        <v>45</v>
      </c>
    </row>
    <row r="276" spans="1:17">
      <c r="A276">
        <v>82</v>
      </c>
      <c r="B276" t="s">
        <v>137</v>
      </c>
      <c r="C276" t="s">
        <v>139</v>
      </c>
      <c r="D276" t="s">
        <v>30</v>
      </c>
      <c r="E276" s="6">
        <v>45358</v>
      </c>
      <c r="F276" t="s">
        <v>421</v>
      </c>
      <c r="G276" t="s">
        <v>1224</v>
      </c>
      <c r="H276" t="s">
        <v>38</v>
      </c>
      <c r="I276" s="4">
        <v>19520.47653394802</v>
      </c>
      <c r="J276">
        <v>331</v>
      </c>
      <c r="K276" t="s">
        <v>36</v>
      </c>
      <c r="L276" s="6">
        <v>45359</v>
      </c>
      <c r="M276" t="s">
        <v>50</v>
      </c>
      <c r="N276" t="s">
        <v>1747</v>
      </c>
      <c r="O276" t="s">
        <v>114</v>
      </c>
      <c r="P276">
        <v>1</v>
      </c>
      <c r="Q276" t="s">
        <v>48</v>
      </c>
    </row>
    <row r="277" spans="1:17">
      <c r="A277">
        <v>29</v>
      </c>
      <c r="B277" t="s">
        <v>138</v>
      </c>
      <c r="C277" t="s">
        <v>145</v>
      </c>
      <c r="D277" t="s">
        <v>27</v>
      </c>
      <c r="E277" s="6">
        <v>45370</v>
      </c>
      <c r="F277" t="s">
        <v>422</v>
      </c>
      <c r="G277" t="s">
        <v>1225</v>
      </c>
      <c r="H277" t="s">
        <v>38</v>
      </c>
      <c r="I277" s="4">
        <v>34344.5732658007</v>
      </c>
      <c r="J277">
        <v>199</v>
      </c>
      <c r="K277" t="s">
        <v>34</v>
      </c>
      <c r="L277" s="6">
        <v>45376</v>
      </c>
      <c r="M277" t="s">
        <v>52</v>
      </c>
      <c r="N277" t="s">
        <v>1748</v>
      </c>
      <c r="O277" t="s">
        <v>114</v>
      </c>
      <c r="P277">
        <v>6</v>
      </c>
      <c r="Q277" t="s">
        <v>45</v>
      </c>
    </row>
    <row r="278" spans="1:17">
      <c r="A278">
        <v>49</v>
      </c>
      <c r="B278" t="s">
        <v>138</v>
      </c>
      <c r="C278" t="s">
        <v>146</v>
      </c>
      <c r="D278" t="s">
        <v>27</v>
      </c>
      <c r="E278" s="6">
        <v>45371</v>
      </c>
      <c r="F278" t="s">
        <v>423</v>
      </c>
      <c r="G278" t="s">
        <v>1226</v>
      </c>
      <c r="H278" t="s">
        <v>38</v>
      </c>
      <c r="I278" s="4">
        <v>5431.866797034838</v>
      </c>
      <c r="J278">
        <v>359</v>
      </c>
      <c r="K278" t="s">
        <v>34</v>
      </c>
      <c r="L278" s="6">
        <v>45393</v>
      </c>
      <c r="M278" t="s">
        <v>51</v>
      </c>
      <c r="N278" t="s">
        <v>1748</v>
      </c>
      <c r="O278" t="s">
        <v>114</v>
      </c>
      <c r="P278">
        <v>22</v>
      </c>
      <c r="Q278" t="s">
        <v>46</v>
      </c>
    </row>
    <row r="279" spans="1:17">
      <c r="A279">
        <v>82</v>
      </c>
      <c r="B279" t="s">
        <v>137</v>
      </c>
      <c r="C279" t="s">
        <v>140</v>
      </c>
      <c r="D279" t="s">
        <v>27</v>
      </c>
      <c r="E279" s="6">
        <v>45353</v>
      </c>
      <c r="F279" t="s">
        <v>424</v>
      </c>
      <c r="G279" t="s">
        <v>1227</v>
      </c>
      <c r="H279" t="s">
        <v>40</v>
      </c>
      <c r="I279" s="4">
        <v>12732.5445938283</v>
      </c>
      <c r="J279">
        <v>149</v>
      </c>
      <c r="K279" t="s">
        <v>34</v>
      </c>
      <c r="L279" s="6">
        <v>45378</v>
      </c>
      <c r="M279" t="s">
        <v>50</v>
      </c>
      <c r="N279" t="s">
        <v>1748</v>
      </c>
      <c r="O279" t="s">
        <v>114</v>
      </c>
      <c r="P279">
        <v>25</v>
      </c>
      <c r="Q279" t="s">
        <v>48</v>
      </c>
    </row>
    <row r="280" spans="1:17">
      <c r="A280">
        <v>63</v>
      </c>
      <c r="B280" t="s">
        <v>138</v>
      </c>
      <c r="C280" t="s">
        <v>140</v>
      </c>
      <c r="D280" t="s">
        <v>30</v>
      </c>
      <c r="E280" s="6">
        <v>45354</v>
      </c>
      <c r="F280" t="s">
        <v>425</v>
      </c>
      <c r="G280" t="s">
        <v>1228</v>
      </c>
      <c r="H280" t="s">
        <v>40</v>
      </c>
      <c r="I280" s="4">
        <v>14852.51330615889</v>
      </c>
      <c r="J280">
        <v>156</v>
      </c>
      <c r="K280" t="s">
        <v>34</v>
      </c>
      <c r="L280" s="6">
        <v>45370</v>
      </c>
      <c r="M280" t="s">
        <v>51</v>
      </c>
      <c r="N280" t="s">
        <v>1748</v>
      </c>
      <c r="O280" t="s">
        <v>114</v>
      </c>
      <c r="P280">
        <v>16</v>
      </c>
      <c r="Q280" t="s">
        <v>47</v>
      </c>
    </row>
    <row r="281" spans="1:17">
      <c r="A281">
        <v>71</v>
      </c>
      <c r="B281" t="s">
        <v>138</v>
      </c>
      <c r="C281" t="s">
        <v>144</v>
      </c>
      <c r="D281" t="s">
        <v>27</v>
      </c>
      <c r="E281" s="6">
        <v>45372</v>
      </c>
      <c r="F281" t="s">
        <v>426</v>
      </c>
      <c r="G281" t="s">
        <v>1229</v>
      </c>
      <c r="H281" t="s">
        <v>41</v>
      </c>
      <c r="I281" s="4">
        <v>44003.63615639132</v>
      </c>
      <c r="J281">
        <v>161</v>
      </c>
      <c r="K281" t="s">
        <v>36</v>
      </c>
      <c r="L281" s="6">
        <v>45378</v>
      </c>
      <c r="M281" t="s">
        <v>54</v>
      </c>
      <c r="N281" t="s">
        <v>1747</v>
      </c>
      <c r="O281" t="s">
        <v>114</v>
      </c>
      <c r="P281">
        <v>6</v>
      </c>
      <c r="Q281" t="s">
        <v>48</v>
      </c>
    </row>
    <row r="282" spans="1:17">
      <c r="A282">
        <v>75</v>
      </c>
      <c r="B282" t="s">
        <v>138</v>
      </c>
      <c r="C282" t="s">
        <v>142</v>
      </c>
      <c r="D282" t="s">
        <v>29</v>
      </c>
      <c r="E282" s="6">
        <v>45367</v>
      </c>
      <c r="F282" t="s">
        <v>427</v>
      </c>
      <c r="G282" t="s">
        <v>1230</v>
      </c>
      <c r="H282" t="s">
        <v>41</v>
      </c>
      <c r="I282" s="4">
        <v>4447.704884771143</v>
      </c>
      <c r="J282">
        <v>197</v>
      </c>
      <c r="K282" t="s">
        <v>34</v>
      </c>
      <c r="L282" s="6">
        <v>45388</v>
      </c>
      <c r="M282" t="s">
        <v>53</v>
      </c>
      <c r="N282" t="s">
        <v>1748</v>
      </c>
      <c r="O282" t="s">
        <v>114</v>
      </c>
      <c r="P282">
        <v>21</v>
      </c>
      <c r="Q282" t="s">
        <v>48</v>
      </c>
    </row>
    <row r="283" spans="1:17">
      <c r="A283">
        <v>60</v>
      </c>
      <c r="B283" t="s">
        <v>138</v>
      </c>
      <c r="C283" t="s">
        <v>144</v>
      </c>
      <c r="D283" t="s">
        <v>28</v>
      </c>
      <c r="E283" s="6">
        <v>45370</v>
      </c>
      <c r="F283" t="s">
        <v>428</v>
      </c>
      <c r="G283" t="s">
        <v>1231</v>
      </c>
      <c r="H283" t="s">
        <v>38</v>
      </c>
      <c r="I283" s="4">
        <v>37182.32683721093</v>
      </c>
      <c r="J283">
        <v>239</v>
      </c>
      <c r="K283" t="s">
        <v>36</v>
      </c>
      <c r="L283" s="6">
        <v>45389</v>
      </c>
      <c r="M283" t="s">
        <v>54</v>
      </c>
      <c r="N283" t="s">
        <v>1746</v>
      </c>
      <c r="O283" t="s">
        <v>114</v>
      </c>
      <c r="P283">
        <v>19</v>
      </c>
      <c r="Q283" t="s">
        <v>47</v>
      </c>
    </row>
    <row r="284" spans="1:17">
      <c r="A284">
        <v>54</v>
      </c>
      <c r="B284" t="s">
        <v>137</v>
      </c>
      <c r="C284" t="s">
        <v>143</v>
      </c>
      <c r="D284" t="s">
        <v>32</v>
      </c>
      <c r="E284" s="6">
        <v>45371</v>
      </c>
      <c r="F284" t="s">
        <v>429</v>
      </c>
      <c r="G284" t="s">
        <v>1232</v>
      </c>
      <c r="H284" t="s">
        <v>40</v>
      </c>
      <c r="I284" s="4">
        <v>25475.30713407629</v>
      </c>
      <c r="J284">
        <v>381</v>
      </c>
      <c r="K284" t="s">
        <v>34</v>
      </c>
      <c r="L284" s="6">
        <v>45377</v>
      </c>
      <c r="M284" t="s">
        <v>52</v>
      </c>
      <c r="N284" t="s">
        <v>1746</v>
      </c>
      <c r="O284" t="s">
        <v>114</v>
      </c>
      <c r="P284">
        <v>6</v>
      </c>
      <c r="Q284" t="s">
        <v>47</v>
      </c>
    </row>
    <row r="285" spans="1:17">
      <c r="A285">
        <v>57</v>
      </c>
      <c r="B285" t="s">
        <v>138</v>
      </c>
      <c r="C285" t="s">
        <v>142</v>
      </c>
      <c r="D285" t="s">
        <v>31</v>
      </c>
      <c r="E285" s="6">
        <v>45370</v>
      </c>
      <c r="F285" t="s">
        <v>430</v>
      </c>
      <c r="G285" t="s">
        <v>1233</v>
      </c>
      <c r="H285" t="s">
        <v>42</v>
      </c>
      <c r="I285" s="4">
        <v>22062.51064667166</v>
      </c>
      <c r="J285">
        <v>203</v>
      </c>
      <c r="K285" t="s">
        <v>36</v>
      </c>
      <c r="L285" s="6">
        <v>45399</v>
      </c>
      <c r="M285" t="s">
        <v>51</v>
      </c>
      <c r="N285" t="s">
        <v>1746</v>
      </c>
      <c r="O285" t="s">
        <v>114</v>
      </c>
      <c r="P285">
        <v>29</v>
      </c>
      <c r="Q285" t="s">
        <v>47</v>
      </c>
    </row>
    <row r="286" spans="1:17">
      <c r="A286">
        <v>83</v>
      </c>
      <c r="B286" t="s">
        <v>138</v>
      </c>
      <c r="C286" t="s">
        <v>140</v>
      </c>
      <c r="D286" t="s">
        <v>29</v>
      </c>
      <c r="E286" s="6">
        <v>45374</v>
      </c>
      <c r="F286" t="s">
        <v>431</v>
      </c>
      <c r="G286" t="s">
        <v>1234</v>
      </c>
      <c r="H286" t="s">
        <v>39</v>
      </c>
      <c r="I286" s="4">
        <v>9800.259636800793</v>
      </c>
      <c r="J286">
        <v>377</v>
      </c>
      <c r="K286" t="s">
        <v>34</v>
      </c>
      <c r="L286" s="6">
        <v>45393</v>
      </c>
      <c r="M286" t="s">
        <v>51</v>
      </c>
      <c r="N286" t="s">
        <v>1748</v>
      </c>
      <c r="O286" t="s">
        <v>114</v>
      </c>
      <c r="P286">
        <v>19</v>
      </c>
      <c r="Q286" t="s">
        <v>48</v>
      </c>
    </row>
    <row r="287" spans="1:17">
      <c r="A287">
        <v>63</v>
      </c>
      <c r="B287" t="s">
        <v>138</v>
      </c>
      <c r="C287" t="s">
        <v>142</v>
      </c>
      <c r="D287" t="s">
        <v>27</v>
      </c>
      <c r="E287" s="6">
        <v>45362</v>
      </c>
      <c r="F287" t="s">
        <v>432</v>
      </c>
      <c r="G287" t="s">
        <v>1235</v>
      </c>
      <c r="H287" t="s">
        <v>39</v>
      </c>
      <c r="I287" s="4">
        <v>22853.16326389301</v>
      </c>
      <c r="J287">
        <v>293</v>
      </c>
      <c r="K287" t="s">
        <v>36</v>
      </c>
      <c r="L287" s="6">
        <v>45369</v>
      </c>
      <c r="M287" t="s">
        <v>52</v>
      </c>
      <c r="N287" t="s">
        <v>1747</v>
      </c>
      <c r="O287" t="s">
        <v>114</v>
      </c>
      <c r="P287">
        <v>7</v>
      </c>
      <c r="Q287" t="s">
        <v>47</v>
      </c>
    </row>
    <row r="288" spans="1:17">
      <c r="A288">
        <v>73</v>
      </c>
      <c r="B288" t="s">
        <v>137</v>
      </c>
      <c r="C288" t="s">
        <v>145</v>
      </c>
      <c r="D288" t="s">
        <v>27</v>
      </c>
      <c r="E288" s="6">
        <v>45366</v>
      </c>
      <c r="F288" t="s">
        <v>433</v>
      </c>
      <c r="G288" t="s">
        <v>1236</v>
      </c>
      <c r="H288" t="s">
        <v>38</v>
      </c>
      <c r="I288" s="4">
        <v>15422.66506007777</v>
      </c>
      <c r="J288">
        <v>431</v>
      </c>
      <c r="K288" t="s">
        <v>34</v>
      </c>
      <c r="L288" s="6">
        <v>45391</v>
      </c>
      <c r="M288" t="s">
        <v>52</v>
      </c>
      <c r="N288" t="s">
        <v>1746</v>
      </c>
      <c r="O288" t="s">
        <v>114</v>
      </c>
      <c r="P288">
        <v>25</v>
      </c>
      <c r="Q288" t="s">
        <v>48</v>
      </c>
    </row>
    <row r="289" spans="1:17">
      <c r="A289">
        <v>66</v>
      </c>
      <c r="B289" t="s">
        <v>138</v>
      </c>
      <c r="C289" t="s">
        <v>145</v>
      </c>
      <c r="D289" t="s">
        <v>32</v>
      </c>
      <c r="E289" s="6">
        <v>45368</v>
      </c>
      <c r="F289" t="s">
        <v>434</v>
      </c>
      <c r="G289" t="s">
        <v>1237</v>
      </c>
      <c r="H289" t="s">
        <v>42</v>
      </c>
      <c r="I289" s="4">
        <v>29886.72527536437</v>
      </c>
      <c r="J289">
        <v>476</v>
      </c>
      <c r="K289" t="s">
        <v>34</v>
      </c>
      <c r="L289" s="6">
        <v>45395</v>
      </c>
      <c r="M289" t="s">
        <v>54</v>
      </c>
      <c r="N289" t="s">
        <v>1748</v>
      </c>
      <c r="O289" t="s">
        <v>114</v>
      </c>
      <c r="P289">
        <v>27</v>
      </c>
      <c r="Q289" t="s">
        <v>48</v>
      </c>
    </row>
    <row r="290" spans="1:17">
      <c r="A290">
        <v>44</v>
      </c>
      <c r="B290" t="s">
        <v>137</v>
      </c>
      <c r="C290" t="s">
        <v>145</v>
      </c>
      <c r="D290" t="s">
        <v>29</v>
      </c>
      <c r="E290" s="6">
        <v>45371</v>
      </c>
      <c r="F290" t="s">
        <v>435</v>
      </c>
      <c r="G290" t="s">
        <v>1238</v>
      </c>
      <c r="H290" t="s">
        <v>40</v>
      </c>
      <c r="I290" s="4">
        <v>2355.33892962486</v>
      </c>
      <c r="J290">
        <v>439</v>
      </c>
      <c r="K290" t="s">
        <v>36</v>
      </c>
      <c r="L290" s="6">
        <v>45379</v>
      </c>
      <c r="M290" t="s">
        <v>50</v>
      </c>
      <c r="N290" t="s">
        <v>1746</v>
      </c>
      <c r="O290" t="s">
        <v>114</v>
      </c>
      <c r="P290">
        <v>8</v>
      </c>
      <c r="Q290" t="s">
        <v>46</v>
      </c>
    </row>
    <row r="291" spans="1:17">
      <c r="A291">
        <v>18</v>
      </c>
      <c r="B291" t="s">
        <v>138</v>
      </c>
      <c r="C291" t="s">
        <v>145</v>
      </c>
      <c r="D291" t="s">
        <v>32</v>
      </c>
      <c r="E291" s="6">
        <v>45369</v>
      </c>
      <c r="F291" t="s">
        <v>436</v>
      </c>
      <c r="G291" t="s">
        <v>1239</v>
      </c>
      <c r="H291" t="s">
        <v>38</v>
      </c>
      <c r="I291" s="4">
        <v>9482.026062966021</v>
      </c>
      <c r="J291">
        <v>102</v>
      </c>
      <c r="K291" t="s">
        <v>36</v>
      </c>
      <c r="L291" s="6">
        <v>45399</v>
      </c>
      <c r="M291" t="s">
        <v>52</v>
      </c>
      <c r="N291" t="s">
        <v>1746</v>
      </c>
      <c r="O291" t="s">
        <v>114</v>
      </c>
      <c r="P291">
        <v>30</v>
      </c>
      <c r="Q291" t="s">
        <v>44</v>
      </c>
    </row>
    <row r="292" spans="1:17">
      <c r="A292">
        <v>83</v>
      </c>
      <c r="B292" t="s">
        <v>138</v>
      </c>
      <c r="C292" t="s">
        <v>144</v>
      </c>
      <c r="D292" t="s">
        <v>28</v>
      </c>
      <c r="E292" s="6">
        <v>45357</v>
      </c>
      <c r="F292" t="s">
        <v>437</v>
      </c>
      <c r="G292" t="s">
        <v>1240</v>
      </c>
      <c r="H292" t="s">
        <v>41</v>
      </c>
      <c r="I292" s="4">
        <v>44640.43049505784</v>
      </c>
      <c r="J292">
        <v>493</v>
      </c>
      <c r="K292" t="s">
        <v>36</v>
      </c>
      <c r="L292" s="6">
        <v>45363</v>
      </c>
      <c r="M292" t="s">
        <v>52</v>
      </c>
      <c r="N292" t="s">
        <v>1747</v>
      </c>
      <c r="O292" t="s">
        <v>114</v>
      </c>
      <c r="P292">
        <v>6</v>
      </c>
      <c r="Q292" t="s">
        <v>48</v>
      </c>
    </row>
    <row r="293" spans="1:17">
      <c r="A293">
        <v>83</v>
      </c>
      <c r="B293" t="s">
        <v>137</v>
      </c>
      <c r="C293" t="s">
        <v>146</v>
      </c>
      <c r="D293" t="s">
        <v>31</v>
      </c>
      <c r="E293" s="6">
        <v>45361</v>
      </c>
      <c r="F293" t="s">
        <v>438</v>
      </c>
      <c r="G293" t="s">
        <v>1241</v>
      </c>
      <c r="H293" t="s">
        <v>39</v>
      </c>
      <c r="I293" s="4">
        <v>29953.29051952532</v>
      </c>
      <c r="J293">
        <v>392</v>
      </c>
      <c r="K293" t="s">
        <v>35</v>
      </c>
      <c r="L293" s="6">
        <v>45378</v>
      </c>
      <c r="M293" t="s">
        <v>52</v>
      </c>
      <c r="N293" t="s">
        <v>1747</v>
      </c>
      <c r="O293" t="s">
        <v>114</v>
      </c>
      <c r="P293">
        <v>17</v>
      </c>
      <c r="Q293" t="s">
        <v>48</v>
      </c>
    </row>
    <row r="294" spans="1:17">
      <c r="A294">
        <v>85</v>
      </c>
      <c r="B294" t="s">
        <v>138</v>
      </c>
      <c r="C294" t="s">
        <v>139</v>
      </c>
      <c r="D294" t="s">
        <v>28</v>
      </c>
      <c r="E294" s="6">
        <v>45360</v>
      </c>
      <c r="F294" t="s">
        <v>439</v>
      </c>
      <c r="G294" t="s">
        <v>1242</v>
      </c>
      <c r="H294" t="s">
        <v>42</v>
      </c>
      <c r="I294" s="4">
        <v>28862.86156994978</v>
      </c>
      <c r="J294">
        <v>102</v>
      </c>
      <c r="K294" t="s">
        <v>34</v>
      </c>
      <c r="L294" s="6">
        <v>45386</v>
      </c>
      <c r="M294" t="s">
        <v>54</v>
      </c>
      <c r="N294" t="s">
        <v>1748</v>
      </c>
      <c r="O294" t="s">
        <v>114</v>
      </c>
      <c r="P294">
        <v>26</v>
      </c>
      <c r="Q294" t="s">
        <v>48</v>
      </c>
    </row>
    <row r="295" spans="1:17">
      <c r="A295">
        <v>44</v>
      </c>
      <c r="B295" t="s">
        <v>137</v>
      </c>
      <c r="C295" t="s">
        <v>143</v>
      </c>
      <c r="D295" t="s">
        <v>27</v>
      </c>
      <c r="E295" s="6">
        <v>45377</v>
      </c>
      <c r="F295" t="s">
        <v>440</v>
      </c>
      <c r="G295" t="s">
        <v>1243</v>
      </c>
      <c r="H295" t="s">
        <v>42</v>
      </c>
      <c r="I295" s="4">
        <v>35668.02570689511</v>
      </c>
      <c r="J295">
        <v>256</v>
      </c>
      <c r="K295" t="s">
        <v>34</v>
      </c>
      <c r="L295" s="6">
        <v>45379</v>
      </c>
      <c r="M295" t="s">
        <v>54</v>
      </c>
      <c r="N295" t="s">
        <v>1747</v>
      </c>
      <c r="O295" t="s">
        <v>114</v>
      </c>
      <c r="P295">
        <v>2</v>
      </c>
      <c r="Q295" t="s">
        <v>46</v>
      </c>
    </row>
    <row r="296" spans="1:17">
      <c r="A296">
        <v>19</v>
      </c>
      <c r="B296" t="s">
        <v>137</v>
      </c>
      <c r="C296" t="s">
        <v>145</v>
      </c>
      <c r="D296" t="s">
        <v>30</v>
      </c>
      <c r="E296" s="6">
        <v>45357</v>
      </c>
      <c r="F296" t="s">
        <v>441</v>
      </c>
      <c r="G296" t="s">
        <v>1244</v>
      </c>
      <c r="H296" t="s">
        <v>38</v>
      </c>
      <c r="I296" s="4">
        <v>37005.06251951658</v>
      </c>
      <c r="J296">
        <v>273</v>
      </c>
      <c r="K296" t="s">
        <v>35</v>
      </c>
      <c r="L296" s="6">
        <v>45375</v>
      </c>
      <c r="M296" t="s">
        <v>54</v>
      </c>
      <c r="N296" t="s">
        <v>1747</v>
      </c>
      <c r="O296" t="s">
        <v>114</v>
      </c>
      <c r="P296">
        <v>18</v>
      </c>
      <c r="Q296" t="s">
        <v>45</v>
      </c>
    </row>
    <row r="297" spans="1:17">
      <c r="A297">
        <v>83</v>
      </c>
      <c r="B297" t="s">
        <v>138</v>
      </c>
      <c r="C297" t="s">
        <v>144</v>
      </c>
      <c r="D297" t="s">
        <v>31</v>
      </c>
      <c r="E297" s="6">
        <v>45372</v>
      </c>
      <c r="F297" t="s">
        <v>442</v>
      </c>
      <c r="G297" t="s">
        <v>1166</v>
      </c>
      <c r="H297" t="s">
        <v>41</v>
      </c>
      <c r="I297" s="4">
        <v>20592.84970882297</v>
      </c>
      <c r="J297">
        <v>258</v>
      </c>
      <c r="K297" t="s">
        <v>35</v>
      </c>
      <c r="L297" s="6">
        <v>45381</v>
      </c>
      <c r="M297" t="s">
        <v>53</v>
      </c>
      <c r="N297" t="s">
        <v>1748</v>
      </c>
      <c r="O297" t="s">
        <v>114</v>
      </c>
      <c r="P297">
        <v>9</v>
      </c>
      <c r="Q297" t="s">
        <v>48</v>
      </c>
    </row>
    <row r="298" spans="1:17">
      <c r="A298">
        <v>78</v>
      </c>
      <c r="B298" t="s">
        <v>137</v>
      </c>
      <c r="C298" t="s">
        <v>144</v>
      </c>
      <c r="D298" t="s">
        <v>29</v>
      </c>
      <c r="E298" s="6">
        <v>45369</v>
      </c>
      <c r="F298" t="s">
        <v>443</v>
      </c>
      <c r="G298" t="s">
        <v>1245</v>
      </c>
      <c r="H298" t="s">
        <v>39</v>
      </c>
      <c r="I298" s="4">
        <v>40821.41895325828</v>
      </c>
      <c r="J298">
        <v>179</v>
      </c>
      <c r="K298" t="s">
        <v>34</v>
      </c>
      <c r="L298" s="6">
        <v>45375</v>
      </c>
      <c r="M298" t="s">
        <v>54</v>
      </c>
      <c r="N298" t="s">
        <v>1747</v>
      </c>
      <c r="O298" t="s">
        <v>114</v>
      </c>
      <c r="P298">
        <v>6</v>
      </c>
      <c r="Q298" t="s">
        <v>48</v>
      </c>
    </row>
    <row r="299" spans="1:17">
      <c r="A299">
        <v>71</v>
      </c>
      <c r="B299" t="s">
        <v>137</v>
      </c>
      <c r="C299" t="s">
        <v>139</v>
      </c>
      <c r="D299" t="s">
        <v>32</v>
      </c>
      <c r="E299" s="6">
        <v>45359</v>
      </c>
      <c r="F299" t="s">
        <v>444</v>
      </c>
      <c r="G299" t="s">
        <v>1246</v>
      </c>
      <c r="H299" t="s">
        <v>41</v>
      </c>
      <c r="I299" s="4">
        <v>22929.44484090919</v>
      </c>
      <c r="J299">
        <v>410</v>
      </c>
      <c r="K299" t="s">
        <v>34</v>
      </c>
      <c r="L299" s="6">
        <v>45374</v>
      </c>
      <c r="M299" t="s">
        <v>50</v>
      </c>
      <c r="N299" t="s">
        <v>1747</v>
      </c>
      <c r="O299" t="s">
        <v>114</v>
      </c>
      <c r="P299">
        <v>15</v>
      </c>
      <c r="Q299" t="s">
        <v>48</v>
      </c>
    </row>
    <row r="300" spans="1:17">
      <c r="A300">
        <v>36</v>
      </c>
      <c r="B300" t="s">
        <v>137</v>
      </c>
      <c r="C300" t="s">
        <v>140</v>
      </c>
      <c r="D300" t="s">
        <v>29</v>
      </c>
      <c r="E300" s="6">
        <v>45375</v>
      </c>
      <c r="F300" t="s">
        <v>445</v>
      </c>
      <c r="G300" t="s">
        <v>1247</v>
      </c>
      <c r="H300" t="s">
        <v>38</v>
      </c>
      <c r="I300" s="4">
        <v>36081.00623636594</v>
      </c>
      <c r="J300">
        <v>248</v>
      </c>
      <c r="K300" t="s">
        <v>36</v>
      </c>
      <c r="L300" s="6">
        <v>45393</v>
      </c>
      <c r="M300" t="s">
        <v>54</v>
      </c>
      <c r="N300" t="s">
        <v>1746</v>
      </c>
      <c r="O300" t="s">
        <v>114</v>
      </c>
      <c r="P300">
        <v>18</v>
      </c>
      <c r="Q300" t="s">
        <v>46</v>
      </c>
    </row>
    <row r="301" spans="1:17">
      <c r="A301">
        <v>48</v>
      </c>
      <c r="B301" t="s">
        <v>137</v>
      </c>
      <c r="C301" t="s">
        <v>140</v>
      </c>
      <c r="D301" t="s">
        <v>27</v>
      </c>
      <c r="E301" s="6">
        <v>45355</v>
      </c>
      <c r="F301" t="s">
        <v>446</v>
      </c>
      <c r="G301" t="s">
        <v>1248</v>
      </c>
      <c r="H301" t="s">
        <v>40</v>
      </c>
      <c r="I301" s="4">
        <v>5393.649185813229</v>
      </c>
      <c r="J301">
        <v>253</v>
      </c>
      <c r="K301" t="s">
        <v>36</v>
      </c>
      <c r="L301" s="6">
        <v>45357</v>
      </c>
      <c r="M301" t="s">
        <v>52</v>
      </c>
      <c r="N301" t="s">
        <v>1747</v>
      </c>
      <c r="O301" t="s">
        <v>114</v>
      </c>
      <c r="P301">
        <v>2</v>
      </c>
      <c r="Q301" t="s">
        <v>46</v>
      </c>
    </row>
    <row r="302" spans="1:17">
      <c r="A302">
        <v>23</v>
      </c>
      <c r="B302" t="s">
        <v>137</v>
      </c>
      <c r="C302" t="s">
        <v>142</v>
      </c>
      <c r="D302" t="s">
        <v>32</v>
      </c>
      <c r="E302" s="6">
        <v>45363</v>
      </c>
      <c r="F302" t="s">
        <v>447</v>
      </c>
      <c r="G302" t="s">
        <v>1249</v>
      </c>
      <c r="H302" t="s">
        <v>39</v>
      </c>
      <c r="I302" s="4">
        <v>19393.15160783259</v>
      </c>
      <c r="J302">
        <v>498</v>
      </c>
      <c r="K302" t="s">
        <v>34</v>
      </c>
      <c r="L302" s="6">
        <v>45378</v>
      </c>
      <c r="M302" t="s">
        <v>54</v>
      </c>
      <c r="N302" t="s">
        <v>1748</v>
      </c>
      <c r="O302" t="s">
        <v>114</v>
      </c>
      <c r="P302">
        <v>15</v>
      </c>
      <c r="Q302" t="s">
        <v>45</v>
      </c>
    </row>
    <row r="303" spans="1:17">
      <c r="A303">
        <v>29</v>
      </c>
      <c r="B303" t="s">
        <v>137</v>
      </c>
      <c r="C303" t="s">
        <v>144</v>
      </c>
      <c r="D303" t="s">
        <v>31</v>
      </c>
      <c r="E303" s="6">
        <v>45367</v>
      </c>
      <c r="F303" t="s">
        <v>448</v>
      </c>
      <c r="G303" t="s">
        <v>1250</v>
      </c>
      <c r="H303" t="s">
        <v>39</v>
      </c>
      <c r="I303" s="4">
        <v>47615.65497995125</v>
      </c>
      <c r="J303">
        <v>170</v>
      </c>
      <c r="K303" t="s">
        <v>36</v>
      </c>
      <c r="L303" s="6">
        <v>45377</v>
      </c>
      <c r="M303" t="s">
        <v>54</v>
      </c>
      <c r="N303" t="s">
        <v>1746</v>
      </c>
      <c r="O303" t="s">
        <v>114</v>
      </c>
      <c r="P303">
        <v>10</v>
      </c>
      <c r="Q303" t="s">
        <v>45</v>
      </c>
    </row>
    <row r="304" spans="1:17">
      <c r="A304">
        <v>50</v>
      </c>
      <c r="B304" t="s">
        <v>137</v>
      </c>
      <c r="C304" t="s">
        <v>142</v>
      </c>
      <c r="D304" t="s">
        <v>32</v>
      </c>
      <c r="E304" s="6">
        <v>45375</v>
      </c>
      <c r="F304" t="s">
        <v>449</v>
      </c>
      <c r="G304" t="s">
        <v>1251</v>
      </c>
      <c r="H304" t="s">
        <v>40</v>
      </c>
      <c r="I304" s="4">
        <v>43748.8205048959</v>
      </c>
      <c r="J304">
        <v>374</v>
      </c>
      <c r="K304" t="s">
        <v>34</v>
      </c>
      <c r="L304" s="6">
        <v>45387</v>
      </c>
      <c r="M304" t="s">
        <v>52</v>
      </c>
      <c r="N304" t="s">
        <v>1746</v>
      </c>
      <c r="O304" t="s">
        <v>114</v>
      </c>
      <c r="P304">
        <v>12</v>
      </c>
      <c r="Q304" t="s">
        <v>46</v>
      </c>
    </row>
    <row r="305" spans="1:17">
      <c r="A305">
        <v>20</v>
      </c>
      <c r="B305" t="s">
        <v>138</v>
      </c>
      <c r="C305" t="s">
        <v>140</v>
      </c>
      <c r="D305" t="s">
        <v>32</v>
      </c>
      <c r="E305" s="6">
        <v>45378</v>
      </c>
      <c r="F305" t="s">
        <v>450</v>
      </c>
      <c r="G305" t="s">
        <v>1252</v>
      </c>
      <c r="H305" t="s">
        <v>39</v>
      </c>
      <c r="I305" s="4">
        <v>38256.99453494195</v>
      </c>
      <c r="J305">
        <v>366</v>
      </c>
      <c r="K305" t="s">
        <v>35</v>
      </c>
      <c r="L305" s="6">
        <v>45379</v>
      </c>
      <c r="M305" t="s">
        <v>52</v>
      </c>
      <c r="N305" t="s">
        <v>1746</v>
      </c>
      <c r="O305" t="s">
        <v>114</v>
      </c>
      <c r="P305">
        <v>1</v>
      </c>
      <c r="Q305" t="s">
        <v>45</v>
      </c>
    </row>
    <row r="306" spans="1:17">
      <c r="A306">
        <v>61</v>
      </c>
      <c r="B306" t="s">
        <v>137</v>
      </c>
      <c r="C306" t="s">
        <v>145</v>
      </c>
      <c r="D306" t="s">
        <v>29</v>
      </c>
      <c r="E306" s="6">
        <v>45361</v>
      </c>
      <c r="F306" t="s">
        <v>451</v>
      </c>
      <c r="G306" t="s">
        <v>1253</v>
      </c>
      <c r="H306" t="s">
        <v>40</v>
      </c>
      <c r="I306" s="4">
        <v>32755.5784069736</v>
      </c>
      <c r="J306">
        <v>250</v>
      </c>
      <c r="K306" t="s">
        <v>34</v>
      </c>
      <c r="L306" s="6">
        <v>45381</v>
      </c>
      <c r="M306" t="s">
        <v>53</v>
      </c>
      <c r="N306" t="s">
        <v>1746</v>
      </c>
      <c r="O306" t="s">
        <v>114</v>
      </c>
      <c r="P306">
        <v>20</v>
      </c>
      <c r="Q306" t="s">
        <v>47</v>
      </c>
    </row>
    <row r="307" spans="1:17">
      <c r="A307">
        <v>80</v>
      </c>
      <c r="B307" t="s">
        <v>138</v>
      </c>
      <c r="C307" t="s">
        <v>144</v>
      </c>
      <c r="D307" t="s">
        <v>31</v>
      </c>
      <c r="E307" s="6">
        <v>45375</v>
      </c>
      <c r="F307" t="s">
        <v>452</v>
      </c>
      <c r="G307" t="s">
        <v>1254</v>
      </c>
      <c r="H307" t="s">
        <v>41</v>
      </c>
      <c r="I307" s="4">
        <v>2254.257115578741</v>
      </c>
      <c r="J307">
        <v>488</v>
      </c>
      <c r="K307" t="s">
        <v>35</v>
      </c>
      <c r="L307" s="6">
        <v>45394</v>
      </c>
      <c r="M307" t="s">
        <v>54</v>
      </c>
      <c r="N307" t="s">
        <v>1748</v>
      </c>
      <c r="O307" t="s">
        <v>114</v>
      </c>
      <c r="P307">
        <v>19</v>
      </c>
      <c r="Q307" t="s">
        <v>48</v>
      </c>
    </row>
    <row r="308" spans="1:17">
      <c r="A308">
        <v>66</v>
      </c>
      <c r="B308" t="s">
        <v>137</v>
      </c>
      <c r="C308" t="s">
        <v>145</v>
      </c>
      <c r="D308" t="s">
        <v>28</v>
      </c>
      <c r="E308" s="6">
        <v>45367</v>
      </c>
      <c r="F308" t="s">
        <v>453</v>
      </c>
      <c r="G308" t="s">
        <v>1255</v>
      </c>
      <c r="H308" t="s">
        <v>41</v>
      </c>
      <c r="I308" s="4">
        <v>49479.47433447826</v>
      </c>
      <c r="J308">
        <v>281</v>
      </c>
      <c r="K308" t="s">
        <v>34</v>
      </c>
      <c r="L308" s="6">
        <v>45386</v>
      </c>
      <c r="M308" t="s">
        <v>50</v>
      </c>
      <c r="N308" t="s">
        <v>1747</v>
      </c>
      <c r="O308" t="s">
        <v>114</v>
      </c>
      <c r="P308">
        <v>19</v>
      </c>
      <c r="Q308" t="s">
        <v>48</v>
      </c>
    </row>
    <row r="309" spans="1:17">
      <c r="A309">
        <v>48</v>
      </c>
      <c r="B309" t="s">
        <v>138</v>
      </c>
      <c r="C309" t="s">
        <v>145</v>
      </c>
      <c r="D309" t="s">
        <v>29</v>
      </c>
      <c r="E309" s="6">
        <v>45362</v>
      </c>
      <c r="F309" t="s">
        <v>454</v>
      </c>
      <c r="G309" t="s">
        <v>1256</v>
      </c>
      <c r="H309" t="s">
        <v>41</v>
      </c>
      <c r="I309" s="4">
        <v>44340.07606905468</v>
      </c>
      <c r="J309">
        <v>229</v>
      </c>
      <c r="K309" t="s">
        <v>34</v>
      </c>
      <c r="L309" s="6">
        <v>45380</v>
      </c>
      <c r="M309" t="s">
        <v>52</v>
      </c>
      <c r="N309" t="s">
        <v>1746</v>
      </c>
      <c r="O309" t="s">
        <v>114</v>
      </c>
      <c r="P309">
        <v>18</v>
      </c>
      <c r="Q309" t="s">
        <v>46</v>
      </c>
    </row>
    <row r="310" spans="1:17">
      <c r="A310">
        <v>30</v>
      </c>
      <c r="B310" t="s">
        <v>137</v>
      </c>
      <c r="C310" t="s">
        <v>142</v>
      </c>
      <c r="D310" t="s">
        <v>30</v>
      </c>
      <c r="E310" s="6">
        <v>45375</v>
      </c>
      <c r="F310" t="s">
        <v>455</v>
      </c>
      <c r="G310" t="s">
        <v>1257</v>
      </c>
      <c r="H310" t="s">
        <v>38</v>
      </c>
      <c r="I310" s="4">
        <v>31146.66928278645</v>
      </c>
      <c r="J310">
        <v>316</v>
      </c>
      <c r="K310" t="s">
        <v>34</v>
      </c>
      <c r="L310" s="6">
        <v>45399</v>
      </c>
      <c r="M310" t="s">
        <v>51</v>
      </c>
      <c r="N310" t="s">
        <v>1746</v>
      </c>
      <c r="O310" t="s">
        <v>114</v>
      </c>
      <c r="P310">
        <v>24</v>
      </c>
      <c r="Q310" t="s">
        <v>45</v>
      </c>
    </row>
    <row r="311" spans="1:17">
      <c r="A311">
        <v>58</v>
      </c>
      <c r="B311" t="s">
        <v>137</v>
      </c>
      <c r="C311" t="s">
        <v>144</v>
      </c>
      <c r="D311" t="s">
        <v>28</v>
      </c>
      <c r="E311" s="6">
        <v>45368</v>
      </c>
      <c r="F311" t="s">
        <v>456</v>
      </c>
      <c r="G311" t="s">
        <v>1258</v>
      </c>
      <c r="H311" t="s">
        <v>42</v>
      </c>
      <c r="I311" s="4">
        <v>9434.462785522501</v>
      </c>
      <c r="J311">
        <v>149</v>
      </c>
      <c r="K311" t="s">
        <v>34</v>
      </c>
      <c r="L311" s="6">
        <v>45398</v>
      </c>
      <c r="M311" t="s">
        <v>53</v>
      </c>
      <c r="N311" t="s">
        <v>1748</v>
      </c>
      <c r="O311" t="s">
        <v>114</v>
      </c>
      <c r="P311">
        <v>30</v>
      </c>
      <c r="Q311" t="s">
        <v>47</v>
      </c>
    </row>
    <row r="312" spans="1:17">
      <c r="A312">
        <v>57</v>
      </c>
      <c r="B312" t="s">
        <v>137</v>
      </c>
      <c r="C312" t="s">
        <v>140</v>
      </c>
      <c r="D312" t="s">
        <v>32</v>
      </c>
      <c r="E312" s="6">
        <v>45376</v>
      </c>
      <c r="F312" t="s">
        <v>457</v>
      </c>
      <c r="G312" t="s">
        <v>1259</v>
      </c>
      <c r="H312" t="s">
        <v>41</v>
      </c>
      <c r="I312" s="4">
        <v>13649.62780535565</v>
      </c>
      <c r="J312">
        <v>452</v>
      </c>
      <c r="K312" t="s">
        <v>36</v>
      </c>
      <c r="L312" s="6">
        <v>45401</v>
      </c>
      <c r="M312" t="s">
        <v>53</v>
      </c>
      <c r="N312" t="s">
        <v>1748</v>
      </c>
      <c r="O312" t="s">
        <v>114</v>
      </c>
      <c r="P312">
        <v>25</v>
      </c>
      <c r="Q312" t="s">
        <v>47</v>
      </c>
    </row>
    <row r="313" spans="1:17">
      <c r="A313">
        <v>76</v>
      </c>
      <c r="B313" t="s">
        <v>137</v>
      </c>
      <c r="C313" t="s">
        <v>146</v>
      </c>
      <c r="D313" t="s">
        <v>30</v>
      </c>
      <c r="E313" s="6">
        <v>45373</v>
      </c>
      <c r="F313" t="s">
        <v>458</v>
      </c>
      <c r="G313" t="s">
        <v>986</v>
      </c>
      <c r="H313" t="s">
        <v>39</v>
      </c>
      <c r="I313" s="4">
        <v>15902.06792563558</v>
      </c>
      <c r="J313">
        <v>171</v>
      </c>
      <c r="K313" t="s">
        <v>34</v>
      </c>
      <c r="L313" s="6">
        <v>45375</v>
      </c>
      <c r="M313" t="s">
        <v>54</v>
      </c>
      <c r="N313" t="s">
        <v>1748</v>
      </c>
      <c r="O313" t="s">
        <v>114</v>
      </c>
      <c r="P313">
        <v>2</v>
      </c>
      <c r="Q313" t="s">
        <v>48</v>
      </c>
    </row>
    <row r="314" spans="1:17">
      <c r="A314">
        <v>30</v>
      </c>
      <c r="B314" t="s">
        <v>138</v>
      </c>
      <c r="C314" t="s">
        <v>142</v>
      </c>
      <c r="D314" t="s">
        <v>27</v>
      </c>
      <c r="E314" s="6">
        <v>45371</v>
      </c>
      <c r="F314" t="s">
        <v>459</v>
      </c>
      <c r="G314" t="s">
        <v>1260</v>
      </c>
      <c r="H314" t="s">
        <v>39</v>
      </c>
      <c r="I314" s="4">
        <v>20641.38732246625</v>
      </c>
      <c r="J314">
        <v>439</v>
      </c>
      <c r="K314" t="s">
        <v>36</v>
      </c>
      <c r="L314" s="6">
        <v>45401</v>
      </c>
      <c r="M314" t="s">
        <v>51</v>
      </c>
      <c r="N314" t="s">
        <v>1748</v>
      </c>
      <c r="O314" t="s">
        <v>114</v>
      </c>
      <c r="P314">
        <v>30</v>
      </c>
      <c r="Q314" t="s">
        <v>45</v>
      </c>
    </row>
    <row r="315" spans="1:17">
      <c r="A315">
        <v>80</v>
      </c>
      <c r="B315" t="s">
        <v>137</v>
      </c>
      <c r="C315" t="s">
        <v>146</v>
      </c>
      <c r="D315" t="s">
        <v>32</v>
      </c>
      <c r="E315" s="6">
        <v>45369</v>
      </c>
      <c r="F315" t="s">
        <v>460</v>
      </c>
      <c r="G315" t="s">
        <v>1261</v>
      </c>
      <c r="H315" t="s">
        <v>39</v>
      </c>
      <c r="I315" s="4">
        <v>8061.977693005472</v>
      </c>
      <c r="J315">
        <v>433</v>
      </c>
      <c r="K315" t="s">
        <v>34</v>
      </c>
      <c r="L315" s="6">
        <v>45383</v>
      </c>
      <c r="M315" t="s">
        <v>52</v>
      </c>
      <c r="N315" t="s">
        <v>1748</v>
      </c>
      <c r="O315" t="s">
        <v>114</v>
      </c>
      <c r="P315">
        <v>14</v>
      </c>
      <c r="Q315" t="s">
        <v>48</v>
      </c>
    </row>
    <row r="316" spans="1:17">
      <c r="A316">
        <v>70</v>
      </c>
      <c r="B316" t="s">
        <v>137</v>
      </c>
      <c r="C316" t="s">
        <v>143</v>
      </c>
      <c r="D316" t="s">
        <v>29</v>
      </c>
      <c r="E316" s="6">
        <v>45365</v>
      </c>
      <c r="F316" t="s">
        <v>461</v>
      </c>
      <c r="G316" t="s">
        <v>1262</v>
      </c>
      <c r="H316" t="s">
        <v>38</v>
      </c>
      <c r="I316" s="4">
        <v>8143.431051233286</v>
      </c>
      <c r="J316">
        <v>154</v>
      </c>
      <c r="K316" t="s">
        <v>36</v>
      </c>
      <c r="L316" s="6">
        <v>45377</v>
      </c>
      <c r="M316" t="s">
        <v>50</v>
      </c>
      <c r="N316" t="s">
        <v>1746</v>
      </c>
      <c r="O316" t="s">
        <v>114</v>
      </c>
      <c r="P316">
        <v>12</v>
      </c>
      <c r="Q316" t="s">
        <v>48</v>
      </c>
    </row>
    <row r="317" spans="1:17">
      <c r="A317">
        <v>48</v>
      </c>
      <c r="B317" t="s">
        <v>138</v>
      </c>
      <c r="C317" t="s">
        <v>144</v>
      </c>
      <c r="D317" t="s">
        <v>31</v>
      </c>
      <c r="E317" s="6">
        <v>45375</v>
      </c>
      <c r="F317" t="s">
        <v>462</v>
      </c>
      <c r="G317" t="s">
        <v>1263</v>
      </c>
      <c r="H317" t="s">
        <v>40</v>
      </c>
      <c r="I317" s="4">
        <v>42626.74841781633</v>
      </c>
      <c r="J317">
        <v>330</v>
      </c>
      <c r="K317" t="s">
        <v>35</v>
      </c>
      <c r="L317" s="6">
        <v>45395</v>
      </c>
      <c r="M317" t="s">
        <v>50</v>
      </c>
      <c r="N317" t="s">
        <v>1748</v>
      </c>
      <c r="O317" t="s">
        <v>114</v>
      </c>
      <c r="P317">
        <v>20</v>
      </c>
      <c r="Q317" t="s">
        <v>46</v>
      </c>
    </row>
    <row r="318" spans="1:17">
      <c r="A318">
        <v>23</v>
      </c>
      <c r="B318" t="s">
        <v>137</v>
      </c>
      <c r="C318" t="s">
        <v>146</v>
      </c>
      <c r="D318" t="s">
        <v>30</v>
      </c>
      <c r="E318" s="6">
        <v>45372</v>
      </c>
      <c r="F318" t="s">
        <v>463</v>
      </c>
      <c r="G318" t="s">
        <v>1264</v>
      </c>
      <c r="H318" t="s">
        <v>38</v>
      </c>
      <c r="I318" s="4">
        <v>15209.64195961799</v>
      </c>
      <c r="J318">
        <v>139</v>
      </c>
      <c r="K318" t="s">
        <v>35</v>
      </c>
      <c r="L318" s="6">
        <v>45375</v>
      </c>
      <c r="M318" t="s">
        <v>52</v>
      </c>
      <c r="N318" t="s">
        <v>1748</v>
      </c>
      <c r="O318" t="s">
        <v>114</v>
      </c>
      <c r="P318">
        <v>3</v>
      </c>
      <c r="Q318" t="s">
        <v>45</v>
      </c>
    </row>
    <row r="319" spans="1:17">
      <c r="A319">
        <v>49</v>
      </c>
      <c r="B319" t="s">
        <v>138</v>
      </c>
      <c r="C319" t="s">
        <v>142</v>
      </c>
      <c r="D319" t="s">
        <v>32</v>
      </c>
      <c r="E319" s="6">
        <v>45354</v>
      </c>
      <c r="F319" t="s">
        <v>464</v>
      </c>
      <c r="G319" t="s">
        <v>1265</v>
      </c>
      <c r="H319" t="s">
        <v>39</v>
      </c>
      <c r="I319" s="4">
        <v>3081.215572958103</v>
      </c>
      <c r="J319">
        <v>290</v>
      </c>
      <c r="K319" t="s">
        <v>35</v>
      </c>
      <c r="L319" s="6">
        <v>45381</v>
      </c>
      <c r="M319" t="s">
        <v>54</v>
      </c>
      <c r="N319" t="s">
        <v>1746</v>
      </c>
      <c r="O319" t="s">
        <v>114</v>
      </c>
      <c r="P319">
        <v>27</v>
      </c>
      <c r="Q319" t="s">
        <v>46</v>
      </c>
    </row>
    <row r="320" spans="1:17">
      <c r="A320">
        <v>36</v>
      </c>
      <c r="B320" t="s">
        <v>137</v>
      </c>
      <c r="C320" t="s">
        <v>142</v>
      </c>
      <c r="D320" t="s">
        <v>32</v>
      </c>
      <c r="E320" s="6">
        <v>45356</v>
      </c>
      <c r="F320" t="s">
        <v>465</v>
      </c>
      <c r="G320" t="s">
        <v>1266</v>
      </c>
      <c r="H320" t="s">
        <v>41</v>
      </c>
      <c r="I320" s="4">
        <v>44846.22771908563</v>
      </c>
      <c r="J320">
        <v>420</v>
      </c>
      <c r="K320" t="s">
        <v>36</v>
      </c>
      <c r="L320" s="6">
        <v>45366</v>
      </c>
      <c r="M320" t="s">
        <v>52</v>
      </c>
      <c r="N320" t="s">
        <v>1748</v>
      </c>
      <c r="O320" t="s">
        <v>114</v>
      </c>
      <c r="P320">
        <v>10</v>
      </c>
      <c r="Q320" t="s">
        <v>46</v>
      </c>
    </row>
    <row r="321" spans="1:17">
      <c r="A321">
        <v>31</v>
      </c>
      <c r="B321" t="s">
        <v>137</v>
      </c>
      <c r="C321" t="s">
        <v>144</v>
      </c>
      <c r="D321" t="s">
        <v>32</v>
      </c>
      <c r="E321" s="6">
        <v>45373</v>
      </c>
      <c r="F321" t="s">
        <v>466</v>
      </c>
      <c r="G321" t="s">
        <v>1267</v>
      </c>
      <c r="H321" t="s">
        <v>41</v>
      </c>
      <c r="I321" s="4">
        <v>12026.05114643858</v>
      </c>
      <c r="J321">
        <v>343</v>
      </c>
      <c r="K321" t="s">
        <v>34</v>
      </c>
      <c r="L321" s="6">
        <v>45393</v>
      </c>
      <c r="M321" t="s">
        <v>50</v>
      </c>
      <c r="N321" t="s">
        <v>1748</v>
      </c>
      <c r="O321" t="s">
        <v>114</v>
      </c>
      <c r="P321">
        <v>20</v>
      </c>
      <c r="Q321" t="s">
        <v>45</v>
      </c>
    </row>
    <row r="322" spans="1:17">
      <c r="A322">
        <v>28</v>
      </c>
      <c r="B322" t="s">
        <v>137</v>
      </c>
      <c r="C322" t="s">
        <v>141</v>
      </c>
      <c r="D322" t="s">
        <v>30</v>
      </c>
      <c r="E322" s="6">
        <v>45356</v>
      </c>
      <c r="F322" t="s">
        <v>467</v>
      </c>
      <c r="G322" t="s">
        <v>1268</v>
      </c>
      <c r="H322" t="s">
        <v>39</v>
      </c>
      <c r="I322" s="4">
        <v>29308.66747128909</v>
      </c>
      <c r="J322">
        <v>295</v>
      </c>
      <c r="K322" t="s">
        <v>36</v>
      </c>
      <c r="L322" s="6">
        <v>45373</v>
      </c>
      <c r="M322" t="s">
        <v>53</v>
      </c>
      <c r="N322" t="s">
        <v>1748</v>
      </c>
      <c r="O322" t="s">
        <v>114</v>
      </c>
      <c r="P322">
        <v>17</v>
      </c>
      <c r="Q322" t="s">
        <v>45</v>
      </c>
    </row>
    <row r="323" spans="1:17">
      <c r="A323">
        <v>40</v>
      </c>
      <c r="B323" t="s">
        <v>138</v>
      </c>
      <c r="C323" t="s">
        <v>139</v>
      </c>
      <c r="D323" t="s">
        <v>30</v>
      </c>
      <c r="E323" s="6">
        <v>45382</v>
      </c>
      <c r="F323" t="s">
        <v>468</v>
      </c>
      <c r="G323" t="s">
        <v>1269</v>
      </c>
      <c r="H323" t="s">
        <v>40</v>
      </c>
      <c r="I323" s="4">
        <v>41161.75734578457</v>
      </c>
      <c r="J323">
        <v>113</v>
      </c>
      <c r="K323" t="s">
        <v>35</v>
      </c>
      <c r="L323" s="6">
        <v>45384</v>
      </c>
      <c r="M323" t="s">
        <v>50</v>
      </c>
      <c r="N323" t="s">
        <v>1746</v>
      </c>
      <c r="O323" t="s">
        <v>114</v>
      </c>
      <c r="P323">
        <v>2</v>
      </c>
      <c r="Q323" t="s">
        <v>46</v>
      </c>
    </row>
    <row r="324" spans="1:17">
      <c r="A324">
        <v>61</v>
      </c>
      <c r="B324" t="s">
        <v>137</v>
      </c>
      <c r="C324" t="s">
        <v>139</v>
      </c>
      <c r="D324" t="s">
        <v>32</v>
      </c>
      <c r="E324" s="6">
        <v>45360</v>
      </c>
      <c r="F324" t="s">
        <v>469</v>
      </c>
      <c r="G324" t="s">
        <v>1270</v>
      </c>
      <c r="H324" t="s">
        <v>42</v>
      </c>
      <c r="I324" s="4">
        <v>46263.24012867018</v>
      </c>
      <c r="J324">
        <v>377</v>
      </c>
      <c r="K324" t="s">
        <v>34</v>
      </c>
      <c r="L324" s="6">
        <v>45368</v>
      </c>
      <c r="M324" t="s">
        <v>51</v>
      </c>
      <c r="N324" t="s">
        <v>1746</v>
      </c>
      <c r="O324" t="s">
        <v>114</v>
      </c>
      <c r="P324">
        <v>8</v>
      </c>
      <c r="Q324" t="s">
        <v>47</v>
      </c>
    </row>
    <row r="325" spans="1:17">
      <c r="A325">
        <v>64</v>
      </c>
      <c r="B325" t="s">
        <v>138</v>
      </c>
      <c r="C325" t="s">
        <v>146</v>
      </c>
      <c r="D325" t="s">
        <v>32</v>
      </c>
      <c r="E325" s="6">
        <v>45352</v>
      </c>
      <c r="F325" t="s">
        <v>470</v>
      </c>
      <c r="G325" t="s">
        <v>1271</v>
      </c>
      <c r="H325" t="s">
        <v>38</v>
      </c>
      <c r="I325" s="4">
        <v>16518.25907417976</v>
      </c>
      <c r="J325">
        <v>268</v>
      </c>
      <c r="K325" t="s">
        <v>36</v>
      </c>
      <c r="L325" s="6">
        <v>45373</v>
      </c>
      <c r="M325" t="s">
        <v>53</v>
      </c>
      <c r="N325" t="s">
        <v>1748</v>
      </c>
      <c r="O325" t="s">
        <v>114</v>
      </c>
      <c r="P325">
        <v>21</v>
      </c>
      <c r="Q325" t="s">
        <v>47</v>
      </c>
    </row>
    <row r="326" spans="1:17">
      <c r="A326">
        <v>28</v>
      </c>
      <c r="B326" t="s">
        <v>138</v>
      </c>
      <c r="C326" t="s">
        <v>140</v>
      </c>
      <c r="D326" t="s">
        <v>30</v>
      </c>
      <c r="E326" s="6">
        <v>45372</v>
      </c>
      <c r="F326" t="s">
        <v>471</v>
      </c>
      <c r="G326" t="s">
        <v>1272</v>
      </c>
      <c r="H326" t="s">
        <v>41</v>
      </c>
      <c r="I326" s="4">
        <v>9665.243441233522</v>
      </c>
      <c r="J326">
        <v>174</v>
      </c>
      <c r="K326" t="s">
        <v>36</v>
      </c>
      <c r="L326" s="6">
        <v>45384</v>
      </c>
      <c r="M326" t="s">
        <v>54</v>
      </c>
      <c r="N326" t="s">
        <v>1748</v>
      </c>
      <c r="O326" t="s">
        <v>114</v>
      </c>
      <c r="P326">
        <v>12</v>
      </c>
      <c r="Q326" t="s">
        <v>45</v>
      </c>
    </row>
    <row r="327" spans="1:17">
      <c r="A327">
        <v>65</v>
      </c>
      <c r="B327" t="s">
        <v>138</v>
      </c>
      <c r="C327" t="s">
        <v>144</v>
      </c>
      <c r="D327" t="s">
        <v>32</v>
      </c>
      <c r="E327" s="6">
        <v>45370</v>
      </c>
      <c r="F327" t="s">
        <v>472</v>
      </c>
      <c r="G327" t="s">
        <v>1273</v>
      </c>
      <c r="H327" t="s">
        <v>39</v>
      </c>
      <c r="I327" s="4">
        <v>32966.20695998787</v>
      </c>
      <c r="J327">
        <v>472</v>
      </c>
      <c r="K327" t="s">
        <v>34</v>
      </c>
      <c r="L327" s="6">
        <v>45393</v>
      </c>
      <c r="M327" t="s">
        <v>52</v>
      </c>
      <c r="N327" t="s">
        <v>1746</v>
      </c>
      <c r="O327" t="s">
        <v>114</v>
      </c>
      <c r="P327">
        <v>23</v>
      </c>
      <c r="Q327" t="s">
        <v>47</v>
      </c>
    </row>
    <row r="328" spans="1:17">
      <c r="A328">
        <v>43</v>
      </c>
      <c r="B328" t="s">
        <v>137</v>
      </c>
      <c r="C328" t="s">
        <v>144</v>
      </c>
      <c r="D328" t="s">
        <v>30</v>
      </c>
      <c r="E328" s="6">
        <v>45369</v>
      </c>
      <c r="F328" t="s">
        <v>473</v>
      </c>
      <c r="G328" t="s">
        <v>1274</v>
      </c>
      <c r="H328" t="s">
        <v>39</v>
      </c>
      <c r="I328" s="4">
        <v>46270.56420143489</v>
      </c>
      <c r="J328">
        <v>298</v>
      </c>
      <c r="K328" t="s">
        <v>35</v>
      </c>
      <c r="L328" s="6">
        <v>45379</v>
      </c>
      <c r="M328" t="s">
        <v>50</v>
      </c>
      <c r="N328" t="s">
        <v>1747</v>
      </c>
      <c r="O328" t="s">
        <v>114</v>
      </c>
      <c r="P328">
        <v>10</v>
      </c>
      <c r="Q328" t="s">
        <v>46</v>
      </c>
    </row>
    <row r="329" spans="1:17">
      <c r="A329">
        <v>23</v>
      </c>
      <c r="B329" t="s">
        <v>137</v>
      </c>
      <c r="C329" t="s">
        <v>144</v>
      </c>
      <c r="D329" t="s">
        <v>29</v>
      </c>
      <c r="E329" s="6">
        <v>45366</v>
      </c>
      <c r="F329" t="s">
        <v>474</v>
      </c>
      <c r="G329" t="s">
        <v>1275</v>
      </c>
      <c r="H329" t="s">
        <v>38</v>
      </c>
      <c r="I329" s="4">
        <v>29160.05990814923</v>
      </c>
      <c r="J329">
        <v>271</v>
      </c>
      <c r="K329" t="s">
        <v>34</v>
      </c>
      <c r="L329" s="6">
        <v>45367</v>
      </c>
      <c r="M329" t="s">
        <v>53</v>
      </c>
      <c r="N329" t="s">
        <v>1748</v>
      </c>
      <c r="O329" t="s">
        <v>114</v>
      </c>
      <c r="P329">
        <v>1</v>
      </c>
      <c r="Q329" t="s">
        <v>45</v>
      </c>
    </row>
    <row r="330" spans="1:17">
      <c r="A330">
        <v>44</v>
      </c>
      <c r="B330" t="s">
        <v>137</v>
      </c>
      <c r="C330" t="s">
        <v>141</v>
      </c>
      <c r="D330" t="s">
        <v>29</v>
      </c>
      <c r="E330" s="6">
        <v>45360</v>
      </c>
      <c r="F330" t="s">
        <v>475</v>
      </c>
      <c r="G330" t="s">
        <v>1276</v>
      </c>
      <c r="H330" t="s">
        <v>38</v>
      </c>
      <c r="I330" s="4">
        <v>6915.48530079112</v>
      </c>
      <c r="J330">
        <v>399</v>
      </c>
      <c r="K330" t="s">
        <v>35</v>
      </c>
      <c r="L330" s="6">
        <v>45373</v>
      </c>
      <c r="M330" t="s">
        <v>50</v>
      </c>
      <c r="N330" t="s">
        <v>1746</v>
      </c>
      <c r="O330" t="s">
        <v>114</v>
      </c>
      <c r="P330">
        <v>13</v>
      </c>
      <c r="Q330" t="s">
        <v>46</v>
      </c>
    </row>
    <row r="331" spans="1:17">
      <c r="A331">
        <v>61</v>
      </c>
      <c r="B331" t="s">
        <v>138</v>
      </c>
      <c r="C331" t="s">
        <v>139</v>
      </c>
      <c r="D331" t="s">
        <v>27</v>
      </c>
      <c r="E331" s="6">
        <v>45365</v>
      </c>
      <c r="F331" t="s">
        <v>476</v>
      </c>
      <c r="G331" t="s">
        <v>1277</v>
      </c>
      <c r="H331" t="s">
        <v>40</v>
      </c>
      <c r="I331" s="4">
        <v>23049.47361638419</v>
      </c>
      <c r="J331">
        <v>162</v>
      </c>
      <c r="K331" t="s">
        <v>34</v>
      </c>
      <c r="L331" s="6">
        <v>45391</v>
      </c>
      <c r="M331" t="s">
        <v>51</v>
      </c>
      <c r="N331" t="s">
        <v>1746</v>
      </c>
      <c r="O331" t="s">
        <v>114</v>
      </c>
      <c r="P331">
        <v>26</v>
      </c>
      <c r="Q331" t="s">
        <v>47</v>
      </c>
    </row>
    <row r="332" spans="1:17">
      <c r="A332">
        <v>71</v>
      </c>
      <c r="B332" t="s">
        <v>138</v>
      </c>
      <c r="C332" t="s">
        <v>143</v>
      </c>
      <c r="D332" t="s">
        <v>30</v>
      </c>
      <c r="E332" s="6">
        <v>45378</v>
      </c>
      <c r="F332" t="s">
        <v>477</v>
      </c>
      <c r="G332" t="s">
        <v>1278</v>
      </c>
      <c r="H332" t="s">
        <v>41</v>
      </c>
      <c r="I332" s="4">
        <v>33138.9458762969</v>
      </c>
      <c r="J332">
        <v>466</v>
      </c>
      <c r="K332" t="s">
        <v>35</v>
      </c>
      <c r="L332" s="6">
        <v>45385</v>
      </c>
      <c r="M332" t="s">
        <v>50</v>
      </c>
      <c r="N332" t="s">
        <v>1748</v>
      </c>
      <c r="O332" t="s">
        <v>114</v>
      </c>
      <c r="P332">
        <v>7</v>
      </c>
      <c r="Q332" t="s">
        <v>48</v>
      </c>
    </row>
    <row r="333" spans="1:17">
      <c r="A333">
        <v>79</v>
      </c>
      <c r="B333" t="s">
        <v>138</v>
      </c>
      <c r="C333" t="s">
        <v>142</v>
      </c>
      <c r="D333" t="s">
        <v>32</v>
      </c>
      <c r="E333" s="6">
        <v>45356</v>
      </c>
      <c r="F333" t="s">
        <v>478</v>
      </c>
      <c r="G333" t="s">
        <v>1279</v>
      </c>
      <c r="H333" t="s">
        <v>41</v>
      </c>
      <c r="I333" s="4">
        <v>14643.4770975757</v>
      </c>
      <c r="J333">
        <v>340</v>
      </c>
      <c r="K333" t="s">
        <v>34</v>
      </c>
      <c r="L333" s="6">
        <v>45384</v>
      </c>
      <c r="M333" t="s">
        <v>52</v>
      </c>
      <c r="N333" t="s">
        <v>1748</v>
      </c>
      <c r="O333" t="s">
        <v>114</v>
      </c>
      <c r="P333">
        <v>28</v>
      </c>
      <c r="Q333" t="s">
        <v>48</v>
      </c>
    </row>
    <row r="334" spans="1:17">
      <c r="A334">
        <v>73</v>
      </c>
      <c r="B334" t="s">
        <v>138</v>
      </c>
      <c r="C334" t="s">
        <v>146</v>
      </c>
      <c r="D334" t="s">
        <v>27</v>
      </c>
      <c r="E334" s="6">
        <v>45359</v>
      </c>
      <c r="F334" t="s">
        <v>479</v>
      </c>
      <c r="G334" t="s">
        <v>1280</v>
      </c>
      <c r="H334" t="s">
        <v>40</v>
      </c>
      <c r="I334" s="4">
        <v>41574.77418098669</v>
      </c>
      <c r="J334">
        <v>127</v>
      </c>
      <c r="K334" t="s">
        <v>34</v>
      </c>
      <c r="L334" s="6">
        <v>45369</v>
      </c>
      <c r="M334" t="s">
        <v>54</v>
      </c>
      <c r="N334" t="s">
        <v>1747</v>
      </c>
      <c r="O334" t="s">
        <v>114</v>
      </c>
      <c r="P334">
        <v>10</v>
      </c>
      <c r="Q334" t="s">
        <v>48</v>
      </c>
    </row>
    <row r="335" spans="1:17">
      <c r="A335">
        <v>62</v>
      </c>
      <c r="B335" t="s">
        <v>137</v>
      </c>
      <c r="C335" t="s">
        <v>140</v>
      </c>
      <c r="D335" t="s">
        <v>32</v>
      </c>
      <c r="E335" s="6">
        <v>45361</v>
      </c>
      <c r="F335" t="s">
        <v>480</v>
      </c>
      <c r="G335" t="s">
        <v>1281</v>
      </c>
      <c r="H335" t="s">
        <v>42</v>
      </c>
      <c r="I335" s="4">
        <v>6108.54540073206</v>
      </c>
      <c r="J335">
        <v>209</v>
      </c>
      <c r="K335" t="s">
        <v>35</v>
      </c>
      <c r="L335" s="6">
        <v>45379</v>
      </c>
      <c r="M335" t="s">
        <v>52</v>
      </c>
      <c r="N335" t="s">
        <v>1748</v>
      </c>
      <c r="O335" t="s">
        <v>114</v>
      </c>
      <c r="P335">
        <v>18</v>
      </c>
      <c r="Q335" t="s">
        <v>47</v>
      </c>
    </row>
    <row r="336" spans="1:17">
      <c r="A336">
        <v>37</v>
      </c>
      <c r="B336" t="s">
        <v>138</v>
      </c>
      <c r="C336" t="s">
        <v>139</v>
      </c>
      <c r="D336" t="s">
        <v>30</v>
      </c>
      <c r="E336" s="6">
        <v>45378</v>
      </c>
      <c r="F336" t="s">
        <v>481</v>
      </c>
      <c r="G336" t="s">
        <v>1282</v>
      </c>
      <c r="H336" t="s">
        <v>38</v>
      </c>
      <c r="I336" s="4">
        <v>45980.33970035102</v>
      </c>
      <c r="J336">
        <v>441</v>
      </c>
      <c r="K336" t="s">
        <v>36</v>
      </c>
      <c r="L336" s="6">
        <v>45386</v>
      </c>
      <c r="M336" t="s">
        <v>51</v>
      </c>
      <c r="N336" t="s">
        <v>1747</v>
      </c>
      <c r="O336" t="s">
        <v>114</v>
      </c>
      <c r="P336">
        <v>8</v>
      </c>
      <c r="Q336" t="s">
        <v>46</v>
      </c>
    </row>
    <row r="337" spans="1:17">
      <c r="A337">
        <v>39</v>
      </c>
      <c r="B337" t="s">
        <v>138</v>
      </c>
      <c r="C337" t="s">
        <v>144</v>
      </c>
      <c r="D337" t="s">
        <v>31</v>
      </c>
      <c r="E337" s="6">
        <v>45362</v>
      </c>
      <c r="F337" t="s">
        <v>459</v>
      </c>
      <c r="G337" t="s">
        <v>1283</v>
      </c>
      <c r="H337" t="s">
        <v>38</v>
      </c>
      <c r="I337" s="4">
        <v>42912.53661428347</v>
      </c>
      <c r="J337">
        <v>160</v>
      </c>
      <c r="K337" t="s">
        <v>34</v>
      </c>
      <c r="L337" s="6">
        <v>45363</v>
      </c>
      <c r="M337" t="s">
        <v>54</v>
      </c>
      <c r="N337" t="s">
        <v>1746</v>
      </c>
      <c r="O337" t="s">
        <v>114</v>
      </c>
      <c r="P337">
        <v>1</v>
      </c>
      <c r="Q337" t="s">
        <v>46</v>
      </c>
    </row>
    <row r="338" spans="1:17">
      <c r="A338">
        <v>47</v>
      </c>
      <c r="B338" t="s">
        <v>137</v>
      </c>
      <c r="C338" t="s">
        <v>139</v>
      </c>
      <c r="D338" t="s">
        <v>30</v>
      </c>
      <c r="E338" s="6">
        <v>45367</v>
      </c>
      <c r="F338" t="s">
        <v>482</v>
      </c>
      <c r="G338" t="s">
        <v>1284</v>
      </c>
      <c r="H338" t="s">
        <v>41</v>
      </c>
      <c r="I338" s="4">
        <v>31331.10146182108</v>
      </c>
      <c r="J338">
        <v>202</v>
      </c>
      <c r="K338" t="s">
        <v>36</v>
      </c>
      <c r="L338" s="6">
        <v>45374</v>
      </c>
      <c r="M338" t="s">
        <v>53</v>
      </c>
      <c r="N338" t="s">
        <v>1746</v>
      </c>
      <c r="O338" t="s">
        <v>114</v>
      </c>
      <c r="P338">
        <v>7</v>
      </c>
      <c r="Q338" t="s">
        <v>46</v>
      </c>
    </row>
    <row r="339" spans="1:17">
      <c r="A339">
        <v>54</v>
      </c>
      <c r="B339" t="s">
        <v>137</v>
      </c>
      <c r="C339" t="s">
        <v>142</v>
      </c>
      <c r="D339" t="s">
        <v>27</v>
      </c>
      <c r="E339" s="6">
        <v>45361</v>
      </c>
      <c r="F339" t="s">
        <v>483</v>
      </c>
      <c r="G339" t="s">
        <v>1285</v>
      </c>
      <c r="H339" t="s">
        <v>42</v>
      </c>
      <c r="I339" s="4">
        <v>26828.16431496516</v>
      </c>
      <c r="J339">
        <v>153</v>
      </c>
      <c r="K339" t="s">
        <v>36</v>
      </c>
      <c r="L339" s="6">
        <v>45387</v>
      </c>
      <c r="M339" t="s">
        <v>50</v>
      </c>
      <c r="N339" t="s">
        <v>1746</v>
      </c>
      <c r="O339" t="s">
        <v>114</v>
      </c>
      <c r="P339">
        <v>26</v>
      </c>
      <c r="Q339" t="s">
        <v>47</v>
      </c>
    </row>
    <row r="340" spans="1:17">
      <c r="A340">
        <v>21</v>
      </c>
      <c r="B340" t="s">
        <v>138</v>
      </c>
      <c r="C340" t="s">
        <v>142</v>
      </c>
      <c r="D340" t="s">
        <v>27</v>
      </c>
      <c r="E340" s="6">
        <v>45359</v>
      </c>
      <c r="F340" t="s">
        <v>484</v>
      </c>
      <c r="G340" t="s">
        <v>1286</v>
      </c>
      <c r="H340" t="s">
        <v>40</v>
      </c>
      <c r="I340" s="4">
        <v>8432.679060125733</v>
      </c>
      <c r="J340">
        <v>257</v>
      </c>
      <c r="K340" t="s">
        <v>35</v>
      </c>
      <c r="L340" s="6">
        <v>45380</v>
      </c>
      <c r="M340" t="s">
        <v>50</v>
      </c>
      <c r="N340" t="s">
        <v>1746</v>
      </c>
      <c r="O340" t="s">
        <v>114</v>
      </c>
      <c r="P340">
        <v>21</v>
      </c>
      <c r="Q340" t="s">
        <v>45</v>
      </c>
    </row>
    <row r="341" spans="1:17">
      <c r="A341">
        <v>26</v>
      </c>
      <c r="B341" t="s">
        <v>137</v>
      </c>
      <c r="C341" t="s">
        <v>141</v>
      </c>
      <c r="D341" t="s">
        <v>30</v>
      </c>
      <c r="E341" s="6">
        <v>45382</v>
      </c>
      <c r="F341" t="s">
        <v>485</v>
      </c>
      <c r="G341" t="s">
        <v>1287</v>
      </c>
      <c r="H341" t="s">
        <v>41</v>
      </c>
      <c r="I341" s="4">
        <v>34328.97142195624</v>
      </c>
      <c r="J341">
        <v>312</v>
      </c>
      <c r="K341" t="s">
        <v>35</v>
      </c>
      <c r="L341" s="6">
        <v>45395</v>
      </c>
      <c r="M341" t="s">
        <v>53</v>
      </c>
      <c r="N341" t="s">
        <v>1748</v>
      </c>
      <c r="O341" t="s">
        <v>114</v>
      </c>
      <c r="P341">
        <v>13</v>
      </c>
      <c r="Q341" t="s">
        <v>45</v>
      </c>
    </row>
    <row r="342" spans="1:17">
      <c r="A342">
        <v>22</v>
      </c>
      <c r="B342" t="s">
        <v>138</v>
      </c>
      <c r="C342" t="s">
        <v>146</v>
      </c>
      <c r="D342" t="s">
        <v>28</v>
      </c>
      <c r="E342" s="6">
        <v>45373</v>
      </c>
      <c r="F342" t="s">
        <v>486</v>
      </c>
      <c r="G342" t="s">
        <v>1288</v>
      </c>
      <c r="H342" t="s">
        <v>40</v>
      </c>
      <c r="I342" s="4">
        <v>18052.92403926761</v>
      </c>
      <c r="J342">
        <v>426</v>
      </c>
      <c r="K342" t="s">
        <v>34</v>
      </c>
      <c r="L342" s="6">
        <v>45379</v>
      </c>
      <c r="M342" t="s">
        <v>50</v>
      </c>
      <c r="N342" t="s">
        <v>1747</v>
      </c>
      <c r="O342" t="s">
        <v>114</v>
      </c>
      <c r="P342">
        <v>6</v>
      </c>
      <c r="Q342" t="s">
        <v>45</v>
      </c>
    </row>
    <row r="343" spans="1:17">
      <c r="A343">
        <v>21</v>
      </c>
      <c r="B343" t="s">
        <v>138</v>
      </c>
      <c r="C343" t="s">
        <v>139</v>
      </c>
      <c r="D343" t="s">
        <v>30</v>
      </c>
      <c r="E343" s="6">
        <v>45369</v>
      </c>
      <c r="F343" t="s">
        <v>487</v>
      </c>
      <c r="G343" t="s">
        <v>1289</v>
      </c>
      <c r="H343" t="s">
        <v>39</v>
      </c>
      <c r="I343" s="4">
        <v>7869.725489985286</v>
      </c>
      <c r="J343">
        <v>231</v>
      </c>
      <c r="K343" t="s">
        <v>35</v>
      </c>
      <c r="L343" s="6">
        <v>45389</v>
      </c>
      <c r="M343" t="s">
        <v>50</v>
      </c>
      <c r="N343" t="s">
        <v>1748</v>
      </c>
      <c r="O343" t="s">
        <v>114</v>
      </c>
      <c r="P343">
        <v>20</v>
      </c>
      <c r="Q343" t="s">
        <v>45</v>
      </c>
    </row>
    <row r="344" spans="1:17">
      <c r="A344">
        <v>70</v>
      </c>
      <c r="B344" t="s">
        <v>138</v>
      </c>
      <c r="C344" t="s">
        <v>139</v>
      </c>
      <c r="D344" t="s">
        <v>28</v>
      </c>
      <c r="E344" s="6">
        <v>45352</v>
      </c>
      <c r="F344" t="s">
        <v>488</v>
      </c>
      <c r="G344" t="s">
        <v>1290</v>
      </c>
      <c r="H344" t="s">
        <v>41</v>
      </c>
      <c r="I344" s="4">
        <v>23563.14136348273</v>
      </c>
      <c r="J344">
        <v>330</v>
      </c>
      <c r="K344" t="s">
        <v>36</v>
      </c>
      <c r="L344" s="6">
        <v>45368</v>
      </c>
      <c r="M344" t="s">
        <v>53</v>
      </c>
      <c r="N344" t="s">
        <v>1746</v>
      </c>
      <c r="O344" t="s">
        <v>114</v>
      </c>
      <c r="P344">
        <v>16</v>
      </c>
      <c r="Q344" t="s">
        <v>48</v>
      </c>
    </row>
    <row r="345" spans="1:17">
      <c r="A345">
        <v>46</v>
      </c>
      <c r="B345" t="s">
        <v>137</v>
      </c>
      <c r="C345" t="s">
        <v>140</v>
      </c>
      <c r="D345" t="s">
        <v>30</v>
      </c>
      <c r="E345" s="6">
        <v>45380</v>
      </c>
      <c r="F345" t="s">
        <v>489</v>
      </c>
      <c r="G345" t="s">
        <v>1291</v>
      </c>
      <c r="H345" t="s">
        <v>41</v>
      </c>
      <c r="I345" s="4">
        <v>50728.80688257036</v>
      </c>
      <c r="J345">
        <v>424</v>
      </c>
      <c r="K345" t="s">
        <v>34</v>
      </c>
      <c r="L345" s="6">
        <v>45395</v>
      </c>
      <c r="M345" t="s">
        <v>52</v>
      </c>
      <c r="N345" t="s">
        <v>1747</v>
      </c>
      <c r="O345" t="s">
        <v>114</v>
      </c>
      <c r="P345">
        <v>15</v>
      </c>
      <c r="Q345" t="s">
        <v>46</v>
      </c>
    </row>
    <row r="346" spans="1:17">
      <c r="A346">
        <v>32</v>
      </c>
      <c r="B346" t="s">
        <v>137</v>
      </c>
      <c r="C346" t="s">
        <v>141</v>
      </c>
      <c r="D346" t="s">
        <v>29</v>
      </c>
      <c r="E346" s="6">
        <v>45367</v>
      </c>
      <c r="F346" t="s">
        <v>490</v>
      </c>
      <c r="G346" t="s">
        <v>1143</v>
      </c>
      <c r="H346" t="s">
        <v>41</v>
      </c>
      <c r="I346" s="4">
        <v>4055.552764592238</v>
      </c>
      <c r="J346">
        <v>361</v>
      </c>
      <c r="K346" t="s">
        <v>34</v>
      </c>
      <c r="L346" s="6">
        <v>45389</v>
      </c>
      <c r="M346" t="s">
        <v>52</v>
      </c>
      <c r="N346" t="s">
        <v>1746</v>
      </c>
      <c r="O346" t="s">
        <v>114</v>
      </c>
      <c r="P346">
        <v>22</v>
      </c>
      <c r="Q346" t="s">
        <v>45</v>
      </c>
    </row>
    <row r="347" spans="1:17">
      <c r="A347">
        <v>82</v>
      </c>
      <c r="B347" t="s">
        <v>137</v>
      </c>
      <c r="C347" t="s">
        <v>144</v>
      </c>
      <c r="D347" t="s">
        <v>32</v>
      </c>
      <c r="E347" s="6">
        <v>45359</v>
      </c>
      <c r="F347" t="s">
        <v>491</v>
      </c>
      <c r="G347" t="s">
        <v>1292</v>
      </c>
      <c r="H347" t="s">
        <v>40</v>
      </c>
      <c r="I347" s="4">
        <v>31012.8160298405</v>
      </c>
      <c r="J347">
        <v>412</v>
      </c>
      <c r="K347" t="s">
        <v>35</v>
      </c>
      <c r="L347" s="6">
        <v>45370</v>
      </c>
      <c r="M347" t="s">
        <v>54</v>
      </c>
      <c r="N347" t="s">
        <v>1747</v>
      </c>
      <c r="O347" t="s">
        <v>114</v>
      </c>
      <c r="P347">
        <v>11</v>
      </c>
      <c r="Q347" t="s">
        <v>48</v>
      </c>
    </row>
    <row r="348" spans="1:17">
      <c r="A348">
        <v>51</v>
      </c>
      <c r="B348" t="s">
        <v>138</v>
      </c>
      <c r="C348" t="s">
        <v>144</v>
      </c>
      <c r="D348" t="s">
        <v>30</v>
      </c>
      <c r="E348" s="6">
        <v>45361</v>
      </c>
      <c r="F348" t="s">
        <v>492</v>
      </c>
      <c r="G348" t="s">
        <v>1293</v>
      </c>
      <c r="H348" t="s">
        <v>41</v>
      </c>
      <c r="I348" s="4">
        <v>49547.33599810854</v>
      </c>
      <c r="J348">
        <v>380</v>
      </c>
      <c r="K348" t="s">
        <v>34</v>
      </c>
      <c r="L348" s="6">
        <v>45390</v>
      </c>
      <c r="M348" t="s">
        <v>54</v>
      </c>
      <c r="N348" t="s">
        <v>1746</v>
      </c>
      <c r="O348" t="s">
        <v>114</v>
      </c>
      <c r="P348">
        <v>29</v>
      </c>
      <c r="Q348" t="s">
        <v>47</v>
      </c>
    </row>
    <row r="349" spans="1:17">
      <c r="A349">
        <v>34</v>
      </c>
      <c r="B349" t="s">
        <v>137</v>
      </c>
      <c r="C349" t="s">
        <v>146</v>
      </c>
      <c r="D349" t="s">
        <v>28</v>
      </c>
      <c r="E349" s="6">
        <v>45355</v>
      </c>
      <c r="F349" t="s">
        <v>493</v>
      </c>
      <c r="G349" t="s">
        <v>1294</v>
      </c>
      <c r="H349" t="s">
        <v>41</v>
      </c>
      <c r="I349" s="4">
        <v>33822.46821031265</v>
      </c>
      <c r="J349">
        <v>205</v>
      </c>
      <c r="K349" t="s">
        <v>34</v>
      </c>
      <c r="L349" s="6">
        <v>45364</v>
      </c>
      <c r="M349" t="s">
        <v>50</v>
      </c>
      <c r="N349" t="s">
        <v>1748</v>
      </c>
      <c r="O349" t="s">
        <v>114</v>
      </c>
      <c r="P349">
        <v>9</v>
      </c>
      <c r="Q349" t="s">
        <v>45</v>
      </c>
    </row>
    <row r="350" spans="1:17">
      <c r="A350">
        <v>33</v>
      </c>
      <c r="B350" t="s">
        <v>138</v>
      </c>
      <c r="C350" t="s">
        <v>146</v>
      </c>
      <c r="D350" t="s">
        <v>28</v>
      </c>
      <c r="E350" s="6">
        <v>45361</v>
      </c>
      <c r="F350" t="s">
        <v>494</v>
      </c>
      <c r="G350" t="s">
        <v>1295</v>
      </c>
      <c r="H350" t="s">
        <v>40</v>
      </c>
      <c r="I350" s="4">
        <v>18021.79929943237</v>
      </c>
      <c r="J350">
        <v>255</v>
      </c>
      <c r="K350" t="s">
        <v>36</v>
      </c>
      <c r="L350" s="6">
        <v>45386</v>
      </c>
      <c r="M350" t="s">
        <v>52</v>
      </c>
      <c r="N350" t="s">
        <v>1748</v>
      </c>
      <c r="O350" t="s">
        <v>114</v>
      </c>
      <c r="P350">
        <v>25</v>
      </c>
      <c r="Q350" t="s">
        <v>45</v>
      </c>
    </row>
    <row r="351" spans="1:17">
      <c r="A351">
        <v>79</v>
      </c>
      <c r="B351" t="s">
        <v>138</v>
      </c>
      <c r="C351" t="s">
        <v>139</v>
      </c>
      <c r="D351" t="s">
        <v>27</v>
      </c>
      <c r="E351" s="6">
        <v>45361</v>
      </c>
      <c r="F351" t="s">
        <v>495</v>
      </c>
      <c r="G351" t="s">
        <v>1296</v>
      </c>
      <c r="H351" t="s">
        <v>40</v>
      </c>
      <c r="I351" s="4">
        <v>33309.34189019047</v>
      </c>
      <c r="J351">
        <v>198</v>
      </c>
      <c r="K351" t="s">
        <v>36</v>
      </c>
      <c r="L351" s="6">
        <v>45372</v>
      </c>
      <c r="M351" t="s">
        <v>53</v>
      </c>
      <c r="N351" t="s">
        <v>1747</v>
      </c>
      <c r="O351" t="s">
        <v>114</v>
      </c>
      <c r="P351">
        <v>11</v>
      </c>
      <c r="Q351" t="s">
        <v>48</v>
      </c>
    </row>
    <row r="352" spans="1:17">
      <c r="A352">
        <v>23</v>
      </c>
      <c r="B352" t="s">
        <v>137</v>
      </c>
      <c r="C352" t="s">
        <v>139</v>
      </c>
      <c r="D352" t="s">
        <v>29</v>
      </c>
      <c r="E352" s="6">
        <v>45364</v>
      </c>
      <c r="F352" t="s">
        <v>496</v>
      </c>
      <c r="G352" t="s">
        <v>1297</v>
      </c>
      <c r="H352" t="s">
        <v>42</v>
      </c>
      <c r="I352" s="4">
        <v>40534.38970073556</v>
      </c>
      <c r="J352">
        <v>362</v>
      </c>
      <c r="K352" t="s">
        <v>34</v>
      </c>
      <c r="L352" s="6">
        <v>45384</v>
      </c>
      <c r="M352" t="s">
        <v>50</v>
      </c>
      <c r="N352" t="s">
        <v>1748</v>
      </c>
      <c r="O352" t="s">
        <v>114</v>
      </c>
      <c r="P352">
        <v>20</v>
      </c>
      <c r="Q352" t="s">
        <v>45</v>
      </c>
    </row>
    <row r="353" spans="1:17">
      <c r="A353">
        <v>57</v>
      </c>
      <c r="B353" t="s">
        <v>138</v>
      </c>
      <c r="C353" t="s">
        <v>145</v>
      </c>
      <c r="D353" t="s">
        <v>29</v>
      </c>
      <c r="E353" s="6">
        <v>45378</v>
      </c>
      <c r="F353" t="s">
        <v>497</v>
      </c>
      <c r="G353" t="s">
        <v>1298</v>
      </c>
      <c r="H353" t="s">
        <v>41</v>
      </c>
      <c r="I353" s="4">
        <v>42864.80378997133</v>
      </c>
      <c r="J353">
        <v>425</v>
      </c>
      <c r="K353" t="s">
        <v>34</v>
      </c>
      <c r="L353" s="6">
        <v>45386</v>
      </c>
      <c r="M353" t="s">
        <v>54</v>
      </c>
      <c r="N353" t="s">
        <v>1746</v>
      </c>
      <c r="O353" t="s">
        <v>114</v>
      </c>
      <c r="P353">
        <v>8</v>
      </c>
      <c r="Q353" t="s">
        <v>47</v>
      </c>
    </row>
    <row r="354" spans="1:17">
      <c r="A354">
        <v>75</v>
      </c>
      <c r="B354" t="s">
        <v>137</v>
      </c>
      <c r="C354" t="s">
        <v>139</v>
      </c>
      <c r="D354" t="s">
        <v>28</v>
      </c>
      <c r="E354" s="6">
        <v>45378</v>
      </c>
      <c r="F354" t="s">
        <v>498</v>
      </c>
      <c r="G354" t="s">
        <v>1299</v>
      </c>
      <c r="H354" t="s">
        <v>41</v>
      </c>
      <c r="I354" s="4">
        <v>29179.9690291326</v>
      </c>
      <c r="J354">
        <v>396</v>
      </c>
      <c r="K354" t="s">
        <v>34</v>
      </c>
      <c r="L354" s="6">
        <v>45407</v>
      </c>
      <c r="M354" t="s">
        <v>51</v>
      </c>
      <c r="N354" t="s">
        <v>1746</v>
      </c>
      <c r="O354" t="s">
        <v>114</v>
      </c>
      <c r="P354">
        <v>29</v>
      </c>
      <c r="Q354" t="s">
        <v>48</v>
      </c>
    </row>
    <row r="355" spans="1:17">
      <c r="A355">
        <v>66</v>
      </c>
      <c r="B355" t="s">
        <v>137</v>
      </c>
      <c r="C355" t="s">
        <v>142</v>
      </c>
      <c r="D355" t="s">
        <v>31</v>
      </c>
      <c r="E355" s="6">
        <v>45359</v>
      </c>
      <c r="F355" t="s">
        <v>499</v>
      </c>
      <c r="G355" t="s">
        <v>1300</v>
      </c>
      <c r="H355" t="s">
        <v>42</v>
      </c>
      <c r="I355" s="4">
        <v>31433.15214632861</v>
      </c>
      <c r="J355">
        <v>239</v>
      </c>
      <c r="K355" t="s">
        <v>35</v>
      </c>
      <c r="L355" s="6">
        <v>45379</v>
      </c>
      <c r="M355" t="s">
        <v>52</v>
      </c>
      <c r="N355" t="s">
        <v>1748</v>
      </c>
      <c r="O355" t="s">
        <v>114</v>
      </c>
      <c r="P355">
        <v>20</v>
      </c>
      <c r="Q355" t="s">
        <v>48</v>
      </c>
    </row>
    <row r="356" spans="1:17">
      <c r="A356">
        <v>19</v>
      </c>
      <c r="B356" t="s">
        <v>137</v>
      </c>
      <c r="C356" t="s">
        <v>143</v>
      </c>
      <c r="D356" t="s">
        <v>27</v>
      </c>
      <c r="E356" s="6">
        <v>45367</v>
      </c>
      <c r="F356" t="s">
        <v>500</v>
      </c>
      <c r="G356" t="s">
        <v>1301</v>
      </c>
      <c r="H356" t="s">
        <v>40</v>
      </c>
      <c r="I356" s="4">
        <v>2352.118001253561</v>
      </c>
      <c r="J356">
        <v>146</v>
      </c>
      <c r="K356" t="s">
        <v>34</v>
      </c>
      <c r="L356" s="6">
        <v>45396</v>
      </c>
      <c r="M356" t="s">
        <v>50</v>
      </c>
      <c r="N356" t="s">
        <v>1748</v>
      </c>
      <c r="O356" t="s">
        <v>114</v>
      </c>
      <c r="P356">
        <v>29</v>
      </c>
      <c r="Q356" t="s">
        <v>45</v>
      </c>
    </row>
    <row r="357" spans="1:17">
      <c r="A357">
        <v>46</v>
      </c>
      <c r="B357" t="s">
        <v>137</v>
      </c>
      <c r="C357" t="s">
        <v>146</v>
      </c>
      <c r="D357" t="s">
        <v>29</v>
      </c>
      <c r="E357" s="6">
        <v>45364</v>
      </c>
      <c r="F357" t="s">
        <v>501</v>
      </c>
      <c r="G357" t="s">
        <v>1302</v>
      </c>
      <c r="H357" t="s">
        <v>41</v>
      </c>
      <c r="I357" s="4">
        <v>23023.15709536398</v>
      </c>
      <c r="J357">
        <v>423</v>
      </c>
      <c r="K357" t="s">
        <v>35</v>
      </c>
      <c r="L357" s="6">
        <v>45378</v>
      </c>
      <c r="M357" t="s">
        <v>52</v>
      </c>
      <c r="N357" t="s">
        <v>1746</v>
      </c>
      <c r="O357" t="s">
        <v>114</v>
      </c>
      <c r="P357">
        <v>14</v>
      </c>
      <c r="Q357" t="s">
        <v>46</v>
      </c>
    </row>
    <row r="358" spans="1:17">
      <c r="A358">
        <v>65</v>
      </c>
      <c r="B358" t="s">
        <v>137</v>
      </c>
      <c r="C358" t="s">
        <v>144</v>
      </c>
      <c r="D358" t="s">
        <v>31</v>
      </c>
      <c r="E358" s="6">
        <v>45375</v>
      </c>
      <c r="F358" t="s">
        <v>502</v>
      </c>
      <c r="G358" t="s">
        <v>1303</v>
      </c>
      <c r="H358" t="s">
        <v>38</v>
      </c>
      <c r="I358" s="4">
        <v>36451.23017792874</v>
      </c>
      <c r="J358">
        <v>135</v>
      </c>
      <c r="K358" t="s">
        <v>34</v>
      </c>
      <c r="L358" s="6">
        <v>45397</v>
      </c>
      <c r="M358" t="s">
        <v>53</v>
      </c>
      <c r="N358" t="s">
        <v>1747</v>
      </c>
      <c r="O358" t="s">
        <v>114</v>
      </c>
      <c r="P358">
        <v>22</v>
      </c>
      <c r="Q358" t="s">
        <v>47</v>
      </c>
    </row>
    <row r="359" spans="1:17">
      <c r="A359">
        <v>68</v>
      </c>
      <c r="B359" t="s">
        <v>137</v>
      </c>
      <c r="C359" t="s">
        <v>139</v>
      </c>
      <c r="D359" t="s">
        <v>28</v>
      </c>
      <c r="E359" s="6">
        <v>45359</v>
      </c>
      <c r="F359" t="s">
        <v>503</v>
      </c>
      <c r="G359" t="s">
        <v>1304</v>
      </c>
      <c r="H359" t="s">
        <v>38</v>
      </c>
      <c r="I359" s="4">
        <v>41114.91562164153</v>
      </c>
      <c r="J359">
        <v>465</v>
      </c>
      <c r="K359" t="s">
        <v>34</v>
      </c>
      <c r="L359" s="6">
        <v>45364</v>
      </c>
      <c r="M359" t="s">
        <v>52</v>
      </c>
      <c r="N359" t="s">
        <v>1747</v>
      </c>
      <c r="O359" t="s">
        <v>114</v>
      </c>
      <c r="P359">
        <v>5</v>
      </c>
      <c r="Q359" t="s">
        <v>48</v>
      </c>
    </row>
    <row r="360" spans="1:17">
      <c r="A360">
        <v>36</v>
      </c>
      <c r="B360" t="s">
        <v>138</v>
      </c>
      <c r="C360" t="s">
        <v>143</v>
      </c>
      <c r="D360" t="s">
        <v>30</v>
      </c>
      <c r="E360" s="6">
        <v>45362</v>
      </c>
      <c r="F360" t="s">
        <v>504</v>
      </c>
      <c r="G360" t="s">
        <v>1305</v>
      </c>
      <c r="H360" t="s">
        <v>39</v>
      </c>
      <c r="I360" s="4">
        <v>23680.1620893549</v>
      </c>
      <c r="J360">
        <v>435</v>
      </c>
      <c r="K360" t="s">
        <v>34</v>
      </c>
      <c r="L360" s="6">
        <v>45368</v>
      </c>
      <c r="M360" t="s">
        <v>52</v>
      </c>
      <c r="N360" t="s">
        <v>1748</v>
      </c>
      <c r="O360" t="s">
        <v>114</v>
      </c>
      <c r="P360">
        <v>6</v>
      </c>
      <c r="Q360" t="s">
        <v>46</v>
      </c>
    </row>
    <row r="361" spans="1:17">
      <c r="A361">
        <v>23</v>
      </c>
      <c r="B361" t="s">
        <v>138</v>
      </c>
      <c r="C361" t="s">
        <v>140</v>
      </c>
      <c r="D361" t="s">
        <v>30</v>
      </c>
      <c r="E361" s="6">
        <v>45352</v>
      </c>
      <c r="F361" t="s">
        <v>505</v>
      </c>
      <c r="G361" t="s">
        <v>1306</v>
      </c>
      <c r="H361" t="s">
        <v>38</v>
      </c>
      <c r="I361" s="4">
        <v>50415.25352290608</v>
      </c>
      <c r="J361">
        <v>199</v>
      </c>
      <c r="K361" t="s">
        <v>36</v>
      </c>
      <c r="L361" s="6">
        <v>45355</v>
      </c>
      <c r="M361" t="s">
        <v>54</v>
      </c>
      <c r="N361" t="s">
        <v>1747</v>
      </c>
      <c r="O361" t="s">
        <v>114</v>
      </c>
      <c r="P361">
        <v>3</v>
      </c>
      <c r="Q361" t="s">
        <v>45</v>
      </c>
    </row>
    <row r="362" spans="1:17">
      <c r="A362">
        <v>84</v>
      </c>
      <c r="B362" t="s">
        <v>137</v>
      </c>
      <c r="C362" t="s">
        <v>139</v>
      </c>
      <c r="D362" t="s">
        <v>29</v>
      </c>
      <c r="E362" s="6">
        <v>45373</v>
      </c>
      <c r="F362" t="s">
        <v>506</v>
      </c>
      <c r="G362" t="s">
        <v>1307</v>
      </c>
      <c r="H362" t="s">
        <v>39</v>
      </c>
      <c r="I362" s="4">
        <v>4614.144607513752</v>
      </c>
      <c r="J362">
        <v>236</v>
      </c>
      <c r="K362" t="s">
        <v>34</v>
      </c>
      <c r="L362" s="6">
        <v>45378</v>
      </c>
      <c r="M362" t="s">
        <v>50</v>
      </c>
      <c r="N362" t="s">
        <v>1748</v>
      </c>
      <c r="O362" t="s">
        <v>114</v>
      </c>
      <c r="P362">
        <v>5</v>
      </c>
      <c r="Q362" t="s">
        <v>48</v>
      </c>
    </row>
    <row r="363" spans="1:17">
      <c r="A363">
        <v>54</v>
      </c>
      <c r="B363" t="s">
        <v>138</v>
      </c>
      <c r="C363" t="s">
        <v>140</v>
      </c>
      <c r="D363" t="s">
        <v>29</v>
      </c>
      <c r="E363" s="6">
        <v>45357</v>
      </c>
      <c r="F363" t="s">
        <v>507</v>
      </c>
      <c r="G363" t="s">
        <v>1166</v>
      </c>
      <c r="H363" t="s">
        <v>41</v>
      </c>
      <c r="I363" s="4">
        <v>14273.92360492258</v>
      </c>
      <c r="J363">
        <v>340</v>
      </c>
      <c r="K363" t="s">
        <v>34</v>
      </c>
      <c r="L363" s="6">
        <v>45382</v>
      </c>
      <c r="M363" t="s">
        <v>51</v>
      </c>
      <c r="N363" t="s">
        <v>1748</v>
      </c>
      <c r="O363" t="s">
        <v>114</v>
      </c>
      <c r="P363">
        <v>25</v>
      </c>
      <c r="Q363" t="s">
        <v>47</v>
      </c>
    </row>
    <row r="364" spans="1:17">
      <c r="A364">
        <v>59</v>
      </c>
      <c r="B364" t="s">
        <v>137</v>
      </c>
      <c r="C364" t="s">
        <v>139</v>
      </c>
      <c r="D364" t="s">
        <v>29</v>
      </c>
      <c r="E364" s="6">
        <v>45378</v>
      </c>
      <c r="F364" t="s">
        <v>508</v>
      </c>
      <c r="G364" t="s">
        <v>1308</v>
      </c>
      <c r="H364" t="s">
        <v>40</v>
      </c>
      <c r="I364" s="4">
        <v>45797.2155105416</v>
      </c>
      <c r="J364">
        <v>486</v>
      </c>
      <c r="K364" t="s">
        <v>34</v>
      </c>
      <c r="L364" s="6">
        <v>45380</v>
      </c>
      <c r="M364" t="s">
        <v>54</v>
      </c>
      <c r="N364" t="s">
        <v>1747</v>
      </c>
      <c r="O364" t="s">
        <v>114</v>
      </c>
      <c r="P364">
        <v>2</v>
      </c>
      <c r="Q364" t="s">
        <v>47</v>
      </c>
    </row>
    <row r="365" spans="1:17">
      <c r="A365">
        <v>80</v>
      </c>
      <c r="B365" t="s">
        <v>137</v>
      </c>
      <c r="C365" t="s">
        <v>143</v>
      </c>
      <c r="D365" t="s">
        <v>27</v>
      </c>
      <c r="E365" s="6">
        <v>45380</v>
      </c>
      <c r="F365" t="s">
        <v>509</v>
      </c>
      <c r="G365" t="s">
        <v>1309</v>
      </c>
      <c r="H365" t="s">
        <v>38</v>
      </c>
      <c r="I365" s="4">
        <v>12344.45461893501</v>
      </c>
      <c r="J365">
        <v>296</v>
      </c>
      <c r="K365" t="s">
        <v>34</v>
      </c>
      <c r="L365" s="6">
        <v>45389</v>
      </c>
      <c r="M365" t="s">
        <v>54</v>
      </c>
      <c r="N365" t="s">
        <v>1748</v>
      </c>
      <c r="O365" t="s">
        <v>114</v>
      </c>
      <c r="P365">
        <v>9</v>
      </c>
      <c r="Q365" t="s">
        <v>48</v>
      </c>
    </row>
    <row r="366" spans="1:17">
      <c r="A366">
        <v>56</v>
      </c>
      <c r="B366" t="s">
        <v>137</v>
      </c>
      <c r="C366" t="s">
        <v>142</v>
      </c>
      <c r="D366" t="s">
        <v>27</v>
      </c>
      <c r="E366" s="6">
        <v>45370</v>
      </c>
      <c r="F366" t="s">
        <v>510</v>
      </c>
      <c r="G366" t="s">
        <v>1310</v>
      </c>
      <c r="H366" t="s">
        <v>41</v>
      </c>
      <c r="I366" s="4">
        <v>34957.77752498721</v>
      </c>
      <c r="J366">
        <v>269</v>
      </c>
      <c r="K366" t="s">
        <v>35</v>
      </c>
      <c r="L366" s="6">
        <v>45389</v>
      </c>
      <c r="M366" t="s">
        <v>51</v>
      </c>
      <c r="N366" t="s">
        <v>1748</v>
      </c>
      <c r="O366" t="s">
        <v>114</v>
      </c>
      <c r="P366">
        <v>19</v>
      </c>
      <c r="Q366" t="s">
        <v>47</v>
      </c>
    </row>
    <row r="367" spans="1:17">
      <c r="A367">
        <v>68</v>
      </c>
      <c r="B367" t="s">
        <v>138</v>
      </c>
      <c r="C367" t="s">
        <v>141</v>
      </c>
      <c r="D367" t="s">
        <v>30</v>
      </c>
      <c r="E367" s="6">
        <v>45358</v>
      </c>
      <c r="F367" t="s">
        <v>511</v>
      </c>
      <c r="G367" t="s">
        <v>991</v>
      </c>
      <c r="H367" t="s">
        <v>38</v>
      </c>
      <c r="I367" s="4">
        <v>14539.82361222673</v>
      </c>
      <c r="J367">
        <v>395</v>
      </c>
      <c r="K367" t="s">
        <v>36</v>
      </c>
      <c r="L367" s="6">
        <v>45383</v>
      </c>
      <c r="M367" t="s">
        <v>53</v>
      </c>
      <c r="N367" t="s">
        <v>1746</v>
      </c>
      <c r="O367" t="s">
        <v>114</v>
      </c>
      <c r="P367">
        <v>25</v>
      </c>
      <c r="Q367" t="s">
        <v>48</v>
      </c>
    </row>
    <row r="368" spans="1:17">
      <c r="A368">
        <v>85</v>
      </c>
      <c r="B368" t="s">
        <v>138</v>
      </c>
      <c r="C368" t="s">
        <v>145</v>
      </c>
      <c r="D368" t="s">
        <v>27</v>
      </c>
      <c r="E368" s="6">
        <v>45370</v>
      </c>
      <c r="F368" t="s">
        <v>512</v>
      </c>
      <c r="G368" t="s">
        <v>1311</v>
      </c>
      <c r="H368" t="s">
        <v>40</v>
      </c>
      <c r="I368" s="4">
        <v>27520.95325501439</v>
      </c>
      <c r="J368">
        <v>145</v>
      </c>
      <c r="K368" t="s">
        <v>34</v>
      </c>
      <c r="L368" s="6">
        <v>45389</v>
      </c>
      <c r="M368" t="s">
        <v>51</v>
      </c>
      <c r="N368" t="s">
        <v>1746</v>
      </c>
      <c r="O368" t="s">
        <v>114</v>
      </c>
      <c r="P368">
        <v>19</v>
      </c>
      <c r="Q368" t="s">
        <v>48</v>
      </c>
    </row>
    <row r="369" spans="1:17">
      <c r="A369">
        <v>77</v>
      </c>
      <c r="B369" t="s">
        <v>138</v>
      </c>
      <c r="C369" t="s">
        <v>144</v>
      </c>
      <c r="D369" t="s">
        <v>30</v>
      </c>
      <c r="E369" s="6">
        <v>45353</v>
      </c>
      <c r="F369" t="s">
        <v>513</v>
      </c>
      <c r="G369" t="s">
        <v>1312</v>
      </c>
      <c r="H369" t="s">
        <v>39</v>
      </c>
      <c r="I369" s="4">
        <v>11185.09097962487</v>
      </c>
      <c r="J369">
        <v>213</v>
      </c>
      <c r="K369" t="s">
        <v>34</v>
      </c>
      <c r="L369" s="6">
        <v>45381</v>
      </c>
      <c r="M369" t="s">
        <v>52</v>
      </c>
      <c r="N369" t="s">
        <v>1747</v>
      </c>
      <c r="O369" t="s">
        <v>114</v>
      </c>
      <c r="P369">
        <v>28</v>
      </c>
      <c r="Q369" t="s">
        <v>48</v>
      </c>
    </row>
    <row r="370" spans="1:17">
      <c r="A370">
        <v>82</v>
      </c>
      <c r="B370" t="s">
        <v>138</v>
      </c>
      <c r="C370" t="s">
        <v>145</v>
      </c>
      <c r="D370" t="s">
        <v>28</v>
      </c>
      <c r="E370" s="6">
        <v>45353</v>
      </c>
      <c r="F370" t="s">
        <v>514</v>
      </c>
      <c r="G370" t="s">
        <v>1313</v>
      </c>
      <c r="H370" t="s">
        <v>38</v>
      </c>
      <c r="I370" s="4">
        <v>46950.91209603099</v>
      </c>
      <c r="J370">
        <v>474</v>
      </c>
      <c r="K370" t="s">
        <v>36</v>
      </c>
      <c r="L370" s="6">
        <v>45359</v>
      </c>
      <c r="M370" t="s">
        <v>54</v>
      </c>
      <c r="N370" t="s">
        <v>1746</v>
      </c>
      <c r="O370" t="s">
        <v>114</v>
      </c>
      <c r="P370">
        <v>6</v>
      </c>
      <c r="Q370" t="s">
        <v>48</v>
      </c>
    </row>
    <row r="371" spans="1:17">
      <c r="A371">
        <v>44</v>
      </c>
      <c r="B371" t="s">
        <v>138</v>
      </c>
      <c r="C371" t="s">
        <v>139</v>
      </c>
      <c r="D371" t="s">
        <v>27</v>
      </c>
      <c r="E371" s="6">
        <v>45370</v>
      </c>
      <c r="F371" t="s">
        <v>515</v>
      </c>
      <c r="G371" t="s">
        <v>1314</v>
      </c>
      <c r="H371" t="s">
        <v>42</v>
      </c>
      <c r="I371" s="4">
        <v>32907.26081919052</v>
      </c>
      <c r="J371">
        <v>482</v>
      </c>
      <c r="K371" t="s">
        <v>34</v>
      </c>
      <c r="L371" s="6">
        <v>45374</v>
      </c>
      <c r="M371" t="s">
        <v>52</v>
      </c>
      <c r="N371" t="s">
        <v>1748</v>
      </c>
      <c r="O371" t="s">
        <v>114</v>
      </c>
      <c r="P371">
        <v>4</v>
      </c>
      <c r="Q371" t="s">
        <v>46</v>
      </c>
    </row>
    <row r="372" spans="1:17">
      <c r="A372">
        <v>70</v>
      </c>
      <c r="B372" t="s">
        <v>138</v>
      </c>
      <c r="C372" t="s">
        <v>139</v>
      </c>
      <c r="D372" t="s">
        <v>30</v>
      </c>
      <c r="E372" s="6">
        <v>45354</v>
      </c>
      <c r="F372" t="s">
        <v>516</v>
      </c>
      <c r="G372" t="s">
        <v>1315</v>
      </c>
      <c r="H372" t="s">
        <v>39</v>
      </c>
      <c r="I372" s="4">
        <v>8852.64257476895</v>
      </c>
      <c r="J372">
        <v>390</v>
      </c>
      <c r="K372" t="s">
        <v>34</v>
      </c>
      <c r="L372" s="6">
        <v>45361</v>
      </c>
      <c r="M372" t="s">
        <v>51</v>
      </c>
      <c r="N372" t="s">
        <v>1748</v>
      </c>
      <c r="O372" t="s">
        <v>114</v>
      </c>
      <c r="P372">
        <v>7</v>
      </c>
      <c r="Q372" t="s">
        <v>48</v>
      </c>
    </row>
    <row r="373" spans="1:17">
      <c r="A373">
        <v>53</v>
      </c>
      <c r="B373" t="s">
        <v>137</v>
      </c>
      <c r="C373" t="s">
        <v>144</v>
      </c>
      <c r="D373" t="s">
        <v>28</v>
      </c>
      <c r="E373" s="6">
        <v>45355</v>
      </c>
      <c r="F373" t="s">
        <v>517</v>
      </c>
      <c r="G373" t="s">
        <v>1316</v>
      </c>
      <c r="H373" t="s">
        <v>39</v>
      </c>
      <c r="I373" s="4">
        <v>40859.95258377178</v>
      </c>
      <c r="J373">
        <v>364</v>
      </c>
      <c r="K373" t="s">
        <v>34</v>
      </c>
      <c r="L373" s="6">
        <v>45375</v>
      </c>
      <c r="M373" t="s">
        <v>54</v>
      </c>
      <c r="N373" t="s">
        <v>1748</v>
      </c>
      <c r="O373" t="s">
        <v>114</v>
      </c>
      <c r="P373">
        <v>20</v>
      </c>
      <c r="Q373" t="s">
        <v>47</v>
      </c>
    </row>
    <row r="374" spans="1:17">
      <c r="A374">
        <v>66</v>
      </c>
      <c r="B374" t="s">
        <v>137</v>
      </c>
      <c r="C374" t="s">
        <v>139</v>
      </c>
      <c r="D374" t="s">
        <v>27</v>
      </c>
      <c r="E374" s="6">
        <v>45370</v>
      </c>
      <c r="F374" t="s">
        <v>518</v>
      </c>
      <c r="G374" t="s">
        <v>1317</v>
      </c>
      <c r="H374" t="s">
        <v>39</v>
      </c>
      <c r="I374" s="4">
        <v>31062.6425079721</v>
      </c>
      <c r="J374">
        <v>131</v>
      </c>
      <c r="K374" t="s">
        <v>36</v>
      </c>
      <c r="L374" s="6">
        <v>45381</v>
      </c>
      <c r="M374" t="s">
        <v>53</v>
      </c>
      <c r="N374" t="s">
        <v>1748</v>
      </c>
      <c r="O374" t="s">
        <v>114</v>
      </c>
      <c r="P374">
        <v>11</v>
      </c>
      <c r="Q374" t="s">
        <v>48</v>
      </c>
    </row>
    <row r="375" spans="1:17">
      <c r="A375">
        <v>26</v>
      </c>
      <c r="B375" t="s">
        <v>138</v>
      </c>
      <c r="C375" t="s">
        <v>143</v>
      </c>
      <c r="D375" t="s">
        <v>31</v>
      </c>
      <c r="E375" s="6">
        <v>45375</v>
      </c>
      <c r="F375" t="s">
        <v>519</v>
      </c>
      <c r="G375" t="s">
        <v>1318</v>
      </c>
      <c r="H375" t="s">
        <v>41</v>
      </c>
      <c r="I375" s="4">
        <v>47579.96541289817</v>
      </c>
      <c r="J375">
        <v>393</v>
      </c>
      <c r="K375" t="s">
        <v>36</v>
      </c>
      <c r="L375" s="6">
        <v>45389</v>
      </c>
      <c r="M375" t="s">
        <v>54</v>
      </c>
      <c r="N375" t="s">
        <v>1747</v>
      </c>
      <c r="O375" t="s">
        <v>114</v>
      </c>
      <c r="P375">
        <v>14</v>
      </c>
      <c r="Q375" t="s">
        <v>45</v>
      </c>
    </row>
    <row r="376" spans="1:17">
      <c r="A376">
        <v>72</v>
      </c>
      <c r="B376" t="s">
        <v>138</v>
      </c>
      <c r="C376" t="s">
        <v>144</v>
      </c>
      <c r="D376" t="s">
        <v>27</v>
      </c>
      <c r="E376" s="6">
        <v>45356</v>
      </c>
      <c r="F376" t="s">
        <v>520</v>
      </c>
      <c r="G376" t="s">
        <v>1319</v>
      </c>
      <c r="H376" t="s">
        <v>41</v>
      </c>
      <c r="I376" s="4">
        <v>2964.798586621611</v>
      </c>
      <c r="J376">
        <v>432</v>
      </c>
      <c r="K376" t="s">
        <v>35</v>
      </c>
      <c r="L376" s="6">
        <v>45357</v>
      </c>
      <c r="M376" t="s">
        <v>54</v>
      </c>
      <c r="N376" t="s">
        <v>1746</v>
      </c>
      <c r="O376" t="s">
        <v>114</v>
      </c>
      <c r="P376">
        <v>1</v>
      </c>
      <c r="Q376" t="s">
        <v>48</v>
      </c>
    </row>
    <row r="377" spans="1:17">
      <c r="A377">
        <v>66</v>
      </c>
      <c r="B377" t="s">
        <v>137</v>
      </c>
      <c r="C377" t="s">
        <v>143</v>
      </c>
      <c r="D377" t="s">
        <v>31</v>
      </c>
      <c r="E377" s="6">
        <v>45367</v>
      </c>
      <c r="F377" t="s">
        <v>521</v>
      </c>
      <c r="G377" t="s">
        <v>1320</v>
      </c>
      <c r="H377" t="s">
        <v>39</v>
      </c>
      <c r="I377" s="4">
        <v>48493.5708579717</v>
      </c>
      <c r="J377">
        <v>466</v>
      </c>
      <c r="K377" t="s">
        <v>34</v>
      </c>
      <c r="L377" s="6">
        <v>45368</v>
      </c>
      <c r="M377" t="s">
        <v>50</v>
      </c>
      <c r="N377" t="s">
        <v>1748</v>
      </c>
      <c r="O377" t="s">
        <v>114</v>
      </c>
      <c r="P377">
        <v>1</v>
      </c>
      <c r="Q377" t="s">
        <v>48</v>
      </c>
    </row>
    <row r="378" spans="1:17">
      <c r="A378">
        <v>23</v>
      </c>
      <c r="B378" t="s">
        <v>138</v>
      </c>
      <c r="C378" t="s">
        <v>146</v>
      </c>
      <c r="D378" t="s">
        <v>29</v>
      </c>
      <c r="E378" s="6">
        <v>45369</v>
      </c>
      <c r="F378" t="s">
        <v>522</v>
      </c>
      <c r="G378" t="s">
        <v>1321</v>
      </c>
      <c r="H378" t="s">
        <v>39</v>
      </c>
      <c r="I378" s="4">
        <v>43054.63752600054</v>
      </c>
      <c r="J378">
        <v>198</v>
      </c>
      <c r="K378" t="s">
        <v>35</v>
      </c>
      <c r="L378" s="6">
        <v>45397</v>
      </c>
      <c r="M378" t="s">
        <v>52</v>
      </c>
      <c r="N378" t="s">
        <v>1747</v>
      </c>
      <c r="O378" t="s">
        <v>114</v>
      </c>
      <c r="P378">
        <v>28</v>
      </c>
      <c r="Q378" t="s">
        <v>45</v>
      </c>
    </row>
    <row r="379" spans="1:17">
      <c r="A379">
        <v>67</v>
      </c>
      <c r="B379" t="s">
        <v>138</v>
      </c>
      <c r="C379" t="s">
        <v>143</v>
      </c>
      <c r="D379" t="s">
        <v>30</v>
      </c>
      <c r="E379" s="6">
        <v>45374</v>
      </c>
      <c r="F379" t="s">
        <v>523</v>
      </c>
      <c r="G379" t="s">
        <v>1322</v>
      </c>
      <c r="H379" t="s">
        <v>38</v>
      </c>
      <c r="I379" s="4">
        <v>13292.19143304034</v>
      </c>
      <c r="J379">
        <v>453</v>
      </c>
      <c r="K379" t="s">
        <v>36</v>
      </c>
      <c r="L379" s="6">
        <v>45383</v>
      </c>
      <c r="M379" t="s">
        <v>53</v>
      </c>
      <c r="N379" t="s">
        <v>1748</v>
      </c>
      <c r="O379" t="s">
        <v>114</v>
      </c>
      <c r="P379">
        <v>9</v>
      </c>
      <c r="Q379" t="s">
        <v>48</v>
      </c>
    </row>
    <row r="380" spans="1:17">
      <c r="A380">
        <v>18</v>
      </c>
      <c r="B380" t="s">
        <v>138</v>
      </c>
      <c r="C380" t="s">
        <v>140</v>
      </c>
      <c r="D380" t="s">
        <v>30</v>
      </c>
      <c r="E380" s="6">
        <v>45356</v>
      </c>
      <c r="F380" t="s">
        <v>524</v>
      </c>
      <c r="G380" t="s">
        <v>1323</v>
      </c>
      <c r="H380" t="s">
        <v>38</v>
      </c>
      <c r="I380" s="4">
        <v>40618.69614175665</v>
      </c>
      <c r="J380">
        <v>326</v>
      </c>
      <c r="K380" t="s">
        <v>36</v>
      </c>
      <c r="L380" s="6">
        <v>45378</v>
      </c>
      <c r="M380" t="s">
        <v>51</v>
      </c>
      <c r="N380" t="s">
        <v>1748</v>
      </c>
      <c r="O380" t="s">
        <v>114</v>
      </c>
      <c r="P380">
        <v>22</v>
      </c>
      <c r="Q380" t="s">
        <v>44</v>
      </c>
    </row>
    <row r="381" spans="1:17">
      <c r="A381">
        <v>50</v>
      </c>
      <c r="B381" t="s">
        <v>138</v>
      </c>
      <c r="C381" t="s">
        <v>142</v>
      </c>
      <c r="D381" t="s">
        <v>30</v>
      </c>
      <c r="E381" s="6">
        <v>45352</v>
      </c>
      <c r="F381" t="s">
        <v>525</v>
      </c>
      <c r="G381" t="s">
        <v>1324</v>
      </c>
      <c r="H381" t="s">
        <v>40</v>
      </c>
      <c r="I381" s="4">
        <v>44966.09267211262</v>
      </c>
      <c r="J381">
        <v>421</v>
      </c>
      <c r="K381" t="s">
        <v>36</v>
      </c>
      <c r="L381" s="6">
        <v>45374</v>
      </c>
      <c r="M381" t="s">
        <v>52</v>
      </c>
      <c r="N381" t="s">
        <v>1746</v>
      </c>
      <c r="O381" t="s">
        <v>114</v>
      </c>
      <c r="P381">
        <v>22</v>
      </c>
      <c r="Q381" t="s">
        <v>46</v>
      </c>
    </row>
    <row r="382" spans="1:17">
      <c r="A382">
        <v>28</v>
      </c>
      <c r="B382" t="s">
        <v>138</v>
      </c>
      <c r="C382" t="s">
        <v>145</v>
      </c>
      <c r="D382" t="s">
        <v>32</v>
      </c>
      <c r="E382" s="6">
        <v>45358</v>
      </c>
      <c r="F382" t="s">
        <v>526</v>
      </c>
      <c r="G382" t="s">
        <v>1325</v>
      </c>
      <c r="H382" t="s">
        <v>38</v>
      </c>
      <c r="I382" s="4">
        <v>14387.2851535679</v>
      </c>
      <c r="J382">
        <v>295</v>
      </c>
      <c r="K382" t="s">
        <v>34</v>
      </c>
      <c r="L382" s="6">
        <v>45386</v>
      </c>
      <c r="M382" t="s">
        <v>52</v>
      </c>
      <c r="N382" t="s">
        <v>1746</v>
      </c>
      <c r="O382" t="s">
        <v>114</v>
      </c>
      <c r="P382">
        <v>28</v>
      </c>
      <c r="Q382" t="s">
        <v>45</v>
      </c>
    </row>
    <row r="383" spans="1:17">
      <c r="A383">
        <v>18</v>
      </c>
      <c r="B383" t="s">
        <v>137</v>
      </c>
      <c r="C383" t="s">
        <v>146</v>
      </c>
      <c r="D383" t="s">
        <v>31</v>
      </c>
      <c r="E383" s="6">
        <v>45375</v>
      </c>
      <c r="F383" t="s">
        <v>527</v>
      </c>
      <c r="G383" t="s">
        <v>1326</v>
      </c>
      <c r="H383" t="s">
        <v>41</v>
      </c>
      <c r="I383" s="4">
        <v>2416.394589748107</v>
      </c>
      <c r="J383">
        <v>368</v>
      </c>
      <c r="K383" t="s">
        <v>34</v>
      </c>
      <c r="L383" s="6">
        <v>45387</v>
      </c>
      <c r="M383" t="s">
        <v>51</v>
      </c>
      <c r="N383" t="s">
        <v>1746</v>
      </c>
      <c r="O383" t="s">
        <v>114</v>
      </c>
      <c r="P383">
        <v>12</v>
      </c>
      <c r="Q383" t="s">
        <v>44</v>
      </c>
    </row>
    <row r="384" spans="1:17">
      <c r="A384">
        <v>57</v>
      </c>
      <c r="B384" t="s">
        <v>138</v>
      </c>
      <c r="C384" t="s">
        <v>139</v>
      </c>
      <c r="D384" t="s">
        <v>30</v>
      </c>
      <c r="E384" s="6">
        <v>45362</v>
      </c>
      <c r="F384" t="s">
        <v>528</v>
      </c>
      <c r="G384" t="s">
        <v>1327</v>
      </c>
      <c r="H384" t="s">
        <v>42</v>
      </c>
      <c r="I384" s="4">
        <v>18790.34460882538</v>
      </c>
      <c r="J384">
        <v>500</v>
      </c>
      <c r="K384" t="s">
        <v>34</v>
      </c>
      <c r="L384" s="6">
        <v>45372</v>
      </c>
      <c r="M384" t="s">
        <v>52</v>
      </c>
      <c r="N384" t="s">
        <v>1748</v>
      </c>
      <c r="O384" t="s">
        <v>114</v>
      </c>
      <c r="P384">
        <v>10</v>
      </c>
      <c r="Q384" t="s">
        <v>47</v>
      </c>
    </row>
    <row r="385" spans="1:17">
      <c r="A385">
        <v>74</v>
      </c>
      <c r="B385" t="s">
        <v>137</v>
      </c>
      <c r="C385" t="s">
        <v>142</v>
      </c>
      <c r="D385" t="s">
        <v>31</v>
      </c>
      <c r="E385" s="6">
        <v>45357</v>
      </c>
      <c r="F385" t="s">
        <v>529</v>
      </c>
      <c r="G385" t="s">
        <v>1328</v>
      </c>
      <c r="H385" t="s">
        <v>42</v>
      </c>
      <c r="I385" s="4">
        <v>42680.7428572295</v>
      </c>
      <c r="J385">
        <v>325</v>
      </c>
      <c r="K385" t="s">
        <v>36</v>
      </c>
      <c r="L385" s="6">
        <v>45381</v>
      </c>
      <c r="M385" t="s">
        <v>50</v>
      </c>
      <c r="N385" t="s">
        <v>1748</v>
      </c>
      <c r="O385" t="s">
        <v>114</v>
      </c>
      <c r="P385">
        <v>24</v>
      </c>
      <c r="Q385" t="s">
        <v>48</v>
      </c>
    </row>
    <row r="386" spans="1:17">
      <c r="A386">
        <v>27</v>
      </c>
      <c r="B386" t="s">
        <v>138</v>
      </c>
      <c r="C386" t="s">
        <v>139</v>
      </c>
      <c r="D386" t="s">
        <v>31</v>
      </c>
      <c r="E386" s="6">
        <v>45377</v>
      </c>
      <c r="F386" t="s">
        <v>530</v>
      </c>
      <c r="G386" t="s">
        <v>1329</v>
      </c>
      <c r="H386" t="s">
        <v>38</v>
      </c>
      <c r="I386" s="4">
        <v>26292.327693681</v>
      </c>
      <c r="J386">
        <v>190</v>
      </c>
      <c r="K386" t="s">
        <v>35</v>
      </c>
      <c r="L386" s="6">
        <v>45404</v>
      </c>
      <c r="M386" t="s">
        <v>50</v>
      </c>
      <c r="N386" t="s">
        <v>1746</v>
      </c>
      <c r="O386" t="s">
        <v>114</v>
      </c>
      <c r="P386">
        <v>27</v>
      </c>
      <c r="Q386" t="s">
        <v>45</v>
      </c>
    </row>
    <row r="387" spans="1:17">
      <c r="A387">
        <v>36</v>
      </c>
      <c r="B387" t="s">
        <v>137</v>
      </c>
      <c r="C387" t="s">
        <v>146</v>
      </c>
      <c r="D387" t="s">
        <v>32</v>
      </c>
      <c r="E387" s="6">
        <v>45355</v>
      </c>
      <c r="F387" t="s">
        <v>531</v>
      </c>
      <c r="G387" t="s">
        <v>1330</v>
      </c>
      <c r="H387" t="s">
        <v>41</v>
      </c>
      <c r="I387" s="4">
        <v>21907.64661037331</v>
      </c>
      <c r="J387">
        <v>246</v>
      </c>
      <c r="K387" t="s">
        <v>35</v>
      </c>
      <c r="L387" s="6">
        <v>45357</v>
      </c>
      <c r="M387" t="s">
        <v>54</v>
      </c>
      <c r="N387" t="s">
        <v>1747</v>
      </c>
      <c r="O387" t="s">
        <v>114</v>
      </c>
      <c r="P387">
        <v>2</v>
      </c>
      <c r="Q387" t="s">
        <v>46</v>
      </c>
    </row>
    <row r="388" spans="1:17">
      <c r="A388">
        <v>63</v>
      </c>
      <c r="B388" t="s">
        <v>137</v>
      </c>
      <c r="C388" t="s">
        <v>143</v>
      </c>
      <c r="D388" t="s">
        <v>28</v>
      </c>
      <c r="E388" s="6">
        <v>45373</v>
      </c>
      <c r="F388" t="s">
        <v>532</v>
      </c>
      <c r="G388" t="s">
        <v>1331</v>
      </c>
      <c r="H388" t="s">
        <v>38</v>
      </c>
      <c r="I388" s="4">
        <v>41886.70854232966</v>
      </c>
      <c r="J388">
        <v>279</v>
      </c>
      <c r="K388" t="s">
        <v>34</v>
      </c>
      <c r="L388" s="6">
        <v>45400</v>
      </c>
      <c r="M388" t="s">
        <v>54</v>
      </c>
      <c r="N388" t="s">
        <v>1748</v>
      </c>
      <c r="O388" t="s">
        <v>114</v>
      </c>
      <c r="P388">
        <v>27</v>
      </c>
      <c r="Q388" t="s">
        <v>47</v>
      </c>
    </row>
    <row r="389" spans="1:17">
      <c r="A389">
        <v>33</v>
      </c>
      <c r="B389" t="s">
        <v>138</v>
      </c>
      <c r="C389" t="s">
        <v>141</v>
      </c>
      <c r="D389" t="s">
        <v>31</v>
      </c>
      <c r="E389" s="6">
        <v>45360</v>
      </c>
      <c r="F389" t="s">
        <v>533</v>
      </c>
      <c r="G389" t="s">
        <v>1332</v>
      </c>
      <c r="H389" t="s">
        <v>41</v>
      </c>
      <c r="I389" s="4">
        <v>28460.59536829144</v>
      </c>
      <c r="J389">
        <v>291</v>
      </c>
      <c r="K389" t="s">
        <v>35</v>
      </c>
      <c r="L389" s="6">
        <v>45386</v>
      </c>
      <c r="M389" t="s">
        <v>50</v>
      </c>
      <c r="N389" t="s">
        <v>1747</v>
      </c>
      <c r="O389" t="s">
        <v>114</v>
      </c>
      <c r="P389">
        <v>26</v>
      </c>
      <c r="Q389" t="s">
        <v>45</v>
      </c>
    </row>
    <row r="390" spans="1:17">
      <c r="A390">
        <v>24</v>
      </c>
      <c r="B390" t="s">
        <v>137</v>
      </c>
      <c r="C390" t="s">
        <v>143</v>
      </c>
      <c r="D390" t="s">
        <v>31</v>
      </c>
      <c r="E390" s="6">
        <v>45367</v>
      </c>
      <c r="F390" t="s">
        <v>534</v>
      </c>
      <c r="G390" t="s">
        <v>1333</v>
      </c>
      <c r="H390" t="s">
        <v>41</v>
      </c>
      <c r="I390" s="4">
        <v>16460.69490347012</v>
      </c>
      <c r="J390">
        <v>396</v>
      </c>
      <c r="K390" t="s">
        <v>35</v>
      </c>
      <c r="L390" s="6">
        <v>45370</v>
      </c>
      <c r="M390" t="s">
        <v>53</v>
      </c>
      <c r="N390" t="s">
        <v>1746</v>
      </c>
      <c r="O390" t="s">
        <v>114</v>
      </c>
      <c r="P390">
        <v>3</v>
      </c>
      <c r="Q390" t="s">
        <v>45</v>
      </c>
    </row>
    <row r="391" spans="1:17">
      <c r="A391">
        <v>45</v>
      </c>
      <c r="B391" t="s">
        <v>138</v>
      </c>
      <c r="C391" t="s">
        <v>146</v>
      </c>
      <c r="D391" t="s">
        <v>31</v>
      </c>
      <c r="E391" s="6">
        <v>45380</v>
      </c>
      <c r="F391" t="s">
        <v>535</v>
      </c>
      <c r="G391" t="s">
        <v>1334</v>
      </c>
      <c r="H391" t="s">
        <v>38</v>
      </c>
      <c r="I391" s="4">
        <v>13412.60098230917</v>
      </c>
      <c r="J391">
        <v>372</v>
      </c>
      <c r="K391" t="s">
        <v>34</v>
      </c>
      <c r="L391" s="6">
        <v>45388</v>
      </c>
      <c r="M391" t="s">
        <v>50</v>
      </c>
      <c r="N391" t="s">
        <v>1748</v>
      </c>
      <c r="O391" t="s">
        <v>114</v>
      </c>
      <c r="P391">
        <v>8</v>
      </c>
      <c r="Q391" t="s">
        <v>46</v>
      </c>
    </row>
    <row r="392" spans="1:17">
      <c r="A392">
        <v>30</v>
      </c>
      <c r="B392" t="s">
        <v>138</v>
      </c>
      <c r="C392" t="s">
        <v>142</v>
      </c>
      <c r="D392" t="s">
        <v>29</v>
      </c>
      <c r="E392" s="6">
        <v>45360</v>
      </c>
      <c r="F392" t="s">
        <v>536</v>
      </c>
      <c r="G392" t="s">
        <v>1335</v>
      </c>
      <c r="H392" t="s">
        <v>41</v>
      </c>
      <c r="I392" s="4">
        <v>9015.877530331009</v>
      </c>
      <c r="J392">
        <v>268</v>
      </c>
      <c r="K392" t="s">
        <v>34</v>
      </c>
      <c r="L392" s="6">
        <v>45383</v>
      </c>
      <c r="M392" t="s">
        <v>54</v>
      </c>
      <c r="N392" t="s">
        <v>1747</v>
      </c>
      <c r="O392" t="s">
        <v>114</v>
      </c>
      <c r="P392">
        <v>23</v>
      </c>
      <c r="Q392" t="s">
        <v>45</v>
      </c>
    </row>
    <row r="393" spans="1:17">
      <c r="A393">
        <v>69</v>
      </c>
      <c r="B393" t="s">
        <v>138</v>
      </c>
      <c r="C393" t="s">
        <v>139</v>
      </c>
      <c r="D393" t="s">
        <v>30</v>
      </c>
      <c r="E393" s="6">
        <v>45354</v>
      </c>
      <c r="F393" t="s">
        <v>537</v>
      </c>
      <c r="G393" t="s">
        <v>1336</v>
      </c>
      <c r="H393" t="s">
        <v>39</v>
      </c>
      <c r="I393" s="4">
        <v>42323.58173979961</v>
      </c>
      <c r="J393">
        <v>202</v>
      </c>
      <c r="K393" t="s">
        <v>36</v>
      </c>
      <c r="L393" s="6">
        <v>45377</v>
      </c>
      <c r="M393" t="s">
        <v>50</v>
      </c>
      <c r="N393" t="s">
        <v>1748</v>
      </c>
      <c r="O393" t="s">
        <v>114</v>
      </c>
      <c r="P393">
        <v>23</v>
      </c>
      <c r="Q393" t="s">
        <v>48</v>
      </c>
    </row>
    <row r="394" spans="1:17">
      <c r="A394">
        <v>62</v>
      </c>
      <c r="B394" t="s">
        <v>138</v>
      </c>
      <c r="C394" t="s">
        <v>145</v>
      </c>
      <c r="D394" t="s">
        <v>27</v>
      </c>
      <c r="E394" s="6">
        <v>45362</v>
      </c>
      <c r="F394" t="s">
        <v>538</v>
      </c>
      <c r="G394" t="s">
        <v>1337</v>
      </c>
      <c r="H394" t="s">
        <v>39</v>
      </c>
      <c r="I394" s="4">
        <v>17060.0090053813</v>
      </c>
      <c r="J394">
        <v>473</v>
      </c>
      <c r="K394" t="s">
        <v>35</v>
      </c>
      <c r="L394" s="6">
        <v>45392</v>
      </c>
      <c r="M394" t="s">
        <v>53</v>
      </c>
      <c r="N394" t="s">
        <v>1747</v>
      </c>
      <c r="O394" t="s">
        <v>114</v>
      </c>
      <c r="P394">
        <v>30</v>
      </c>
      <c r="Q394" t="s">
        <v>47</v>
      </c>
    </row>
    <row r="395" spans="1:17">
      <c r="A395">
        <v>65</v>
      </c>
      <c r="B395" t="s">
        <v>138</v>
      </c>
      <c r="C395" t="s">
        <v>141</v>
      </c>
      <c r="D395" t="s">
        <v>29</v>
      </c>
      <c r="E395" s="6">
        <v>45352</v>
      </c>
      <c r="F395" t="s">
        <v>539</v>
      </c>
      <c r="G395" t="s">
        <v>1338</v>
      </c>
      <c r="H395" t="s">
        <v>42</v>
      </c>
      <c r="I395" s="4">
        <v>46426.93724757435</v>
      </c>
      <c r="J395">
        <v>160</v>
      </c>
      <c r="K395" t="s">
        <v>36</v>
      </c>
      <c r="L395" s="6">
        <v>45365</v>
      </c>
      <c r="M395" t="s">
        <v>50</v>
      </c>
      <c r="N395" t="s">
        <v>1746</v>
      </c>
      <c r="O395" t="s">
        <v>114</v>
      </c>
      <c r="P395">
        <v>13</v>
      </c>
      <c r="Q395" t="s">
        <v>47</v>
      </c>
    </row>
    <row r="396" spans="1:17">
      <c r="A396">
        <v>24</v>
      </c>
      <c r="B396" t="s">
        <v>138</v>
      </c>
      <c r="C396" t="s">
        <v>146</v>
      </c>
      <c r="D396" t="s">
        <v>30</v>
      </c>
      <c r="E396" s="6">
        <v>45379</v>
      </c>
      <c r="F396" t="s">
        <v>540</v>
      </c>
      <c r="G396" t="s">
        <v>1339</v>
      </c>
      <c r="H396" t="s">
        <v>42</v>
      </c>
      <c r="I396" s="4">
        <v>16656.8781009278</v>
      </c>
      <c r="J396">
        <v>457</v>
      </c>
      <c r="K396" t="s">
        <v>34</v>
      </c>
      <c r="L396" s="6">
        <v>45389</v>
      </c>
      <c r="M396" t="s">
        <v>50</v>
      </c>
      <c r="N396" t="s">
        <v>1747</v>
      </c>
      <c r="O396" t="s">
        <v>114</v>
      </c>
      <c r="P396">
        <v>10</v>
      </c>
      <c r="Q396" t="s">
        <v>45</v>
      </c>
    </row>
    <row r="397" spans="1:17">
      <c r="A397">
        <v>28</v>
      </c>
      <c r="B397" t="s">
        <v>138</v>
      </c>
      <c r="C397" t="s">
        <v>144</v>
      </c>
      <c r="D397" t="s">
        <v>31</v>
      </c>
      <c r="E397" s="6">
        <v>45365</v>
      </c>
      <c r="F397" t="s">
        <v>541</v>
      </c>
      <c r="G397" t="s">
        <v>1340</v>
      </c>
      <c r="H397" t="s">
        <v>41</v>
      </c>
      <c r="I397" s="4">
        <v>16893.68783142185</v>
      </c>
      <c r="J397">
        <v>301</v>
      </c>
      <c r="K397" t="s">
        <v>36</v>
      </c>
      <c r="L397" s="6">
        <v>45374</v>
      </c>
      <c r="M397" t="s">
        <v>50</v>
      </c>
      <c r="N397" t="s">
        <v>1746</v>
      </c>
      <c r="O397" t="s">
        <v>114</v>
      </c>
      <c r="P397">
        <v>9</v>
      </c>
      <c r="Q397" t="s">
        <v>45</v>
      </c>
    </row>
    <row r="398" spans="1:17">
      <c r="A398">
        <v>59</v>
      </c>
      <c r="B398" t="s">
        <v>137</v>
      </c>
      <c r="C398" t="s">
        <v>143</v>
      </c>
      <c r="D398" t="s">
        <v>32</v>
      </c>
      <c r="E398" s="6">
        <v>45368</v>
      </c>
      <c r="F398" t="s">
        <v>542</v>
      </c>
      <c r="G398" t="s">
        <v>1341</v>
      </c>
      <c r="H398" t="s">
        <v>38</v>
      </c>
      <c r="I398" s="4">
        <v>4628.046468407318</v>
      </c>
      <c r="J398">
        <v>371</v>
      </c>
      <c r="K398" t="s">
        <v>35</v>
      </c>
      <c r="L398" s="6">
        <v>45372</v>
      </c>
      <c r="M398" t="s">
        <v>54</v>
      </c>
      <c r="N398" t="s">
        <v>1747</v>
      </c>
      <c r="O398" t="s">
        <v>114</v>
      </c>
      <c r="P398">
        <v>4</v>
      </c>
      <c r="Q398" t="s">
        <v>47</v>
      </c>
    </row>
    <row r="399" spans="1:17">
      <c r="A399">
        <v>33</v>
      </c>
      <c r="B399" t="s">
        <v>137</v>
      </c>
      <c r="C399" t="s">
        <v>146</v>
      </c>
      <c r="D399" t="s">
        <v>29</v>
      </c>
      <c r="E399" s="6">
        <v>45353</v>
      </c>
      <c r="F399" t="s">
        <v>543</v>
      </c>
      <c r="G399" t="s">
        <v>1342</v>
      </c>
      <c r="H399" t="s">
        <v>39</v>
      </c>
      <c r="I399" s="4">
        <v>39706.6510029566</v>
      </c>
      <c r="J399">
        <v>486</v>
      </c>
      <c r="K399" t="s">
        <v>35</v>
      </c>
      <c r="L399" s="6">
        <v>45383</v>
      </c>
      <c r="M399" t="s">
        <v>51</v>
      </c>
      <c r="N399" t="s">
        <v>1746</v>
      </c>
      <c r="O399" t="s">
        <v>114</v>
      </c>
      <c r="P399">
        <v>30</v>
      </c>
      <c r="Q399" t="s">
        <v>45</v>
      </c>
    </row>
    <row r="400" spans="1:17">
      <c r="A400">
        <v>85</v>
      </c>
      <c r="B400" t="s">
        <v>138</v>
      </c>
      <c r="C400" t="s">
        <v>140</v>
      </c>
      <c r="D400" t="s">
        <v>31</v>
      </c>
      <c r="E400" s="6">
        <v>45376</v>
      </c>
      <c r="F400" t="s">
        <v>544</v>
      </c>
      <c r="G400" t="s">
        <v>1343</v>
      </c>
      <c r="H400" t="s">
        <v>41</v>
      </c>
      <c r="I400" s="4">
        <v>25302.32247145625</v>
      </c>
      <c r="J400">
        <v>471</v>
      </c>
      <c r="K400" t="s">
        <v>36</v>
      </c>
      <c r="L400" s="6">
        <v>45404</v>
      </c>
      <c r="M400" t="s">
        <v>50</v>
      </c>
      <c r="N400" t="s">
        <v>1746</v>
      </c>
      <c r="O400" t="s">
        <v>114</v>
      </c>
      <c r="P400">
        <v>28</v>
      </c>
      <c r="Q400" t="s">
        <v>48</v>
      </c>
    </row>
    <row r="401" spans="1:17">
      <c r="A401">
        <v>43</v>
      </c>
      <c r="B401" t="s">
        <v>137</v>
      </c>
      <c r="C401" t="s">
        <v>146</v>
      </c>
      <c r="D401" t="s">
        <v>28</v>
      </c>
      <c r="E401" s="6">
        <v>45380</v>
      </c>
      <c r="F401" t="s">
        <v>545</v>
      </c>
      <c r="G401" t="s">
        <v>1344</v>
      </c>
      <c r="H401" t="s">
        <v>40</v>
      </c>
      <c r="I401" s="4">
        <v>19960.47407397622</v>
      </c>
      <c r="J401">
        <v>234</v>
      </c>
      <c r="K401" t="s">
        <v>36</v>
      </c>
      <c r="L401" s="6">
        <v>45406</v>
      </c>
      <c r="M401" t="s">
        <v>52</v>
      </c>
      <c r="N401" t="s">
        <v>1748</v>
      </c>
      <c r="O401" t="s">
        <v>114</v>
      </c>
      <c r="P401">
        <v>26</v>
      </c>
      <c r="Q401" t="s">
        <v>46</v>
      </c>
    </row>
    <row r="402" spans="1:17">
      <c r="A402">
        <v>33</v>
      </c>
      <c r="B402" t="s">
        <v>138</v>
      </c>
      <c r="C402" t="s">
        <v>146</v>
      </c>
      <c r="D402" t="s">
        <v>30</v>
      </c>
      <c r="E402" s="6">
        <v>45373</v>
      </c>
      <c r="F402" t="s">
        <v>546</v>
      </c>
      <c r="G402" t="s">
        <v>1345</v>
      </c>
      <c r="H402" t="s">
        <v>42</v>
      </c>
      <c r="I402" s="4">
        <v>39527.70582556851</v>
      </c>
      <c r="J402">
        <v>470</v>
      </c>
      <c r="K402" t="s">
        <v>35</v>
      </c>
      <c r="L402" s="6">
        <v>45391</v>
      </c>
      <c r="M402" t="s">
        <v>52</v>
      </c>
      <c r="N402" t="s">
        <v>1746</v>
      </c>
      <c r="O402" t="s">
        <v>114</v>
      </c>
      <c r="P402">
        <v>18</v>
      </c>
      <c r="Q402" t="s">
        <v>45</v>
      </c>
    </row>
    <row r="403" spans="1:17">
      <c r="A403">
        <v>49</v>
      </c>
      <c r="B403" t="s">
        <v>137</v>
      </c>
      <c r="C403" t="s">
        <v>140</v>
      </c>
      <c r="D403" t="s">
        <v>30</v>
      </c>
      <c r="E403" s="6">
        <v>45358</v>
      </c>
      <c r="F403" t="s">
        <v>547</v>
      </c>
      <c r="G403" t="s">
        <v>1346</v>
      </c>
      <c r="H403" t="s">
        <v>42</v>
      </c>
      <c r="I403" s="4">
        <v>3276.972542921226</v>
      </c>
      <c r="J403">
        <v>236</v>
      </c>
      <c r="K403" t="s">
        <v>36</v>
      </c>
      <c r="L403" s="6">
        <v>45365</v>
      </c>
      <c r="M403" t="s">
        <v>52</v>
      </c>
      <c r="N403" t="s">
        <v>1748</v>
      </c>
      <c r="O403" t="s">
        <v>114</v>
      </c>
      <c r="P403">
        <v>7</v>
      </c>
      <c r="Q403" t="s">
        <v>46</v>
      </c>
    </row>
    <row r="404" spans="1:17">
      <c r="A404">
        <v>47</v>
      </c>
      <c r="B404" t="s">
        <v>137</v>
      </c>
      <c r="C404" t="s">
        <v>139</v>
      </c>
      <c r="D404" t="s">
        <v>27</v>
      </c>
      <c r="E404" s="6">
        <v>45361</v>
      </c>
      <c r="F404" t="s">
        <v>548</v>
      </c>
      <c r="G404" t="s">
        <v>1347</v>
      </c>
      <c r="H404" t="s">
        <v>38</v>
      </c>
      <c r="I404" s="4">
        <v>42202.19621865782</v>
      </c>
      <c r="J404">
        <v>197</v>
      </c>
      <c r="K404" t="s">
        <v>34</v>
      </c>
      <c r="L404" s="6">
        <v>45369</v>
      </c>
      <c r="M404" t="s">
        <v>52</v>
      </c>
      <c r="N404" t="s">
        <v>1746</v>
      </c>
      <c r="O404" t="s">
        <v>114</v>
      </c>
      <c r="P404">
        <v>8</v>
      </c>
      <c r="Q404" t="s">
        <v>46</v>
      </c>
    </row>
    <row r="405" spans="1:17">
      <c r="A405">
        <v>21</v>
      </c>
      <c r="B405" t="s">
        <v>138</v>
      </c>
      <c r="C405" t="s">
        <v>142</v>
      </c>
      <c r="D405" t="s">
        <v>31</v>
      </c>
      <c r="E405" s="6">
        <v>45361</v>
      </c>
      <c r="F405" t="s">
        <v>549</v>
      </c>
      <c r="G405" t="s">
        <v>1348</v>
      </c>
      <c r="H405" t="s">
        <v>40</v>
      </c>
      <c r="I405" s="4">
        <v>43438.67019286477</v>
      </c>
      <c r="J405">
        <v>211</v>
      </c>
      <c r="K405" t="s">
        <v>34</v>
      </c>
      <c r="L405" s="6">
        <v>45370</v>
      </c>
      <c r="M405" t="s">
        <v>53</v>
      </c>
      <c r="N405" t="s">
        <v>1747</v>
      </c>
      <c r="O405" t="s">
        <v>114</v>
      </c>
      <c r="P405">
        <v>9</v>
      </c>
      <c r="Q405" t="s">
        <v>45</v>
      </c>
    </row>
    <row r="406" spans="1:17">
      <c r="A406">
        <v>18</v>
      </c>
      <c r="B406" t="s">
        <v>138</v>
      </c>
      <c r="C406" t="s">
        <v>141</v>
      </c>
      <c r="D406" t="s">
        <v>29</v>
      </c>
      <c r="E406" s="6">
        <v>45363</v>
      </c>
      <c r="F406" t="s">
        <v>550</v>
      </c>
      <c r="G406" t="s">
        <v>1349</v>
      </c>
      <c r="H406" t="s">
        <v>39</v>
      </c>
      <c r="I406" s="4">
        <v>40125.20432731014</v>
      </c>
      <c r="J406">
        <v>252</v>
      </c>
      <c r="K406" t="s">
        <v>36</v>
      </c>
      <c r="L406" s="6">
        <v>45366</v>
      </c>
      <c r="M406" t="s">
        <v>51</v>
      </c>
      <c r="N406" t="s">
        <v>1746</v>
      </c>
      <c r="O406" t="s">
        <v>114</v>
      </c>
      <c r="P406">
        <v>3</v>
      </c>
      <c r="Q406" t="s">
        <v>44</v>
      </c>
    </row>
    <row r="407" spans="1:17">
      <c r="A407">
        <v>25</v>
      </c>
      <c r="B407" t="s">
        <v>137</v>
      </c>
      <c r="C407" t="s">
        <v>145</v>
      </c>
      <c r="D407" t="s">
        <v>32</v>
      </c>
      <c r="E407" s="6">
        <v>45366</v>
      </c>
      <c r="F407" t="s">
        <v>551</v>
      </c>
      <c r="G407" t="s">
        <v>1350</v>
      </c>
      <c r="H407" t="s">
        <v>38</v>
      </c>
      <c r="I407" s="4">
        <v>32177.72885343837</v>
      </c>
      <c r="J407">
        <v>125</v>
      </c>
      <c r="K407" t="s">
        <v>36</v>
      </c>
      <c r="L407" s="6">
        <v>45394</v>
      </c>
      <c r="M407" t="s">
        <v>50</v>
      </c>
      <c r="N407" t="s">
        <v>1747</v>
      </c>
      <c r="O407" t="s">
        <v>114</v>
      </c>
      <c r="P407">
        <v>28</v>
      </c>
      <c r="Q407" t="s">
        <v>45</v>
      </c>
    </row>
    <row r="408" spans="1:17">
      <c r="A408">
        <v>58</v>
      </c>
      <c r="B408" t="s">
        <v>138</v>
      </c>
      <c r="C408" t="s">
        <v>144</v>
      </c>
      <c r="D408" t="s">
        <v>31</v>
      </c>
      <c r="E408" s="6">
        <v>45381</v>
      </c>
      <c r="F408" t="s">
        <v>552</v>
      </c>
      <c r="G408" t="s">
        <v>1351</v>
      </c>
      <c r="H408" t="s">
        <v>42</v>
      </c>
      <c r="I408" s="4">
        <v>41904.00492903225</v>
      </c>
      <c r="J408">
        <v>400</v>
      </c>
      <c r="K408" t="s">
        <v>36</v>
      </c>
      <c r="L408" s="6">
        <v>45398</v>
      </c>
      <c r="M408" t="s">
        <v>53</v>
      </c>
      <c r="N408" t="s">
        <v>1747</v>
      </c>
      <c r="O408" t="s">
        <v>114</v>
      </c>
      <c r="P408">
        <v>17</v>
      </c>
      <c r="Q408" t="s">
        <v>47</v>
      </c>
    </row>
    <row r="409" spans="1:17">
      <c r="A409">
        <v>25</v>
      </c>
      <c r="B409" t="s">
        <v>137</v>
      </c>
      <c r="C409" t="s">
        <v>144</v>
      </c>
      <c r="D409" t="s">
        <v>28</v>
      </c>
      <c r="E409" s="6">
        <v>45367</v>
      </c>
      <c r="F409" t="s">
        <v>553</v>
      </c>
      <c r="G409" t="s">
        <v>1352</v>
      </c>
      <c r="H409" t="s">
        <v>41</v>
      </c>
      <c r="I409" s="4">
        <v>2282.176265684693</v>
      </c>
      <c r="J409">
        <v>428</v>
      </c>
      <c r="K409" t="s">
        <v>34</v>
      </c>
      <c r="L409" s="6">
        <v>45376</v>
      </c>
      <c r="M409" t="s">
        <v>54</v>
      </c>
      <c r="N409" t="s">
        <v>1748</v>
      </c>
      <c r="O409" t="s">
        <v>114</v>
      </c>
      <c r="P409">
        <v>9</v>
      </c>
      <c r="Q409" t="s">
        <v>45</v>
      </c>
    </row>
    <row r="410" spans="1:17">
      <c r="A410">
        <v>47</v>
      </c>
      <c r="B410" t="s">
        <v>138</v>
      </c>
      <c r="C410" t="s">
        <v>142</v>
      </c>
      <c r="D410" t="s">
        <v>27</v>
      </c>
      <c r="E410" s="6">
        <v>45364</v>
      </c>
      <c r="F410" t="s">
        <v>554</v>
      </c>
      <c r="G410" t="s">
        <v>1353</v>
      </c>
      <c r="H410" t="s">
        <v>38</v>
      </c>
      <c r="I410" s="4">
        <v>1784.387758698052</v>
      </c>
      <c r="J410">
        <v>293</v>
      </c>
      <c r="K410" t="s">
        <v>36</v>
      </c>
      <c r="L410" s="6">
        <v>45372</v>
      </c>
      <c r="M410" t="s">
        <v>53</v>
      </c>
      <c r="N410" t="s">
        <v>1746</v>
      </c>
      <c r="O410" t="s">
        <v>114</v>
      </c>
      <c r="P410">
        <v>8</v>
      </c>
      <c r="Q410" t="s">
        <v>46</v>
      </c>
    </row>
    <row r="411" spans="1:17">
      <c r="A411">
        <v>59</v>
      </c>
      <c r="B411" t="s">
        <v>138</v>
      </c>
      <c r="C411" t="s">
        <v>146</v>
      </c>
      <c r="D411" t="s">
        <v>32</v>
      </c>
      <c r="E411" s="6">
        <v>45367</v>
      </c>
      <c r="F411" t="s">
        <v>555</v>
      </c>
      <c r="G411" t="s">
        <v>1354</v>
      </c>
      <c r="H411" t="s">
        <v>40</v>
      </c>
      <c r="I411" s="4">
        <v>11753.12826428058</v>
      </c>
      <c r="J411">
        <v>345</v>
      </c>
      <c r="K411" t="s">
        <v>36</v>
      </c>
      <c r="L411" s="6">
        <v>45380</v>
      </c>
      <c r="M411" t="s">
        <v>53</v>
      </c>
      <c r="N411" t="s">
        <v>1746</v>
      </c>
      <c r="O411" t="s">
        <v>114</v>
      </c>
      <c r="P411">
        <v>13</v>
      </c>
      <c r="Q411" t="s">
        <v>47</v>
      </c>
    </row>
    <row r="412" spans="1:17">
      <c r="A412">
        <v>26</v>
      </c>
      <c r="B412" t="s">
        <v>138</v>
      </c>
      <c r="C412" t="s">
        <v>145</v>
      </c>
      <c r="D412" t="s">
        <v>29</v>
      </c>
      <c r="E412" s="6">
        <v>45365</v>
      </c>
      <c r="F412" t="s">
        <v>556</v>
      </c>
      <c r="G412" t="s">
        <v>1355</v>
      </c>
      <c r="H412" t="s">
        <v>40</v>
      </c>
      <c r="I412" s="4">
        <v>28696.22042799367</v>
      </c>
      <c r="J412">
        <v>237</v>
      </c>
      <c r="K412" t="s">
        <v>35</v>
      </c>
      <c r="L412" s="6">
        <v>45370</v>
      </c>
      <c r="M412" t="s">
        <v>52</v>
      </c>
      <c r="N412" t="s">
        <v>1748</v>
      </c>
      <c r="O412" t="s">
        <v>114</v>
      </c>
      <c r="P412">
        <v>5</v>
      </c>
      <c r="Q412" t="s">
        <v>45</v>
      </c>
    </row>
    <row r="413" spans="1:17">
      <c r="A413">
        <v>58</v>
      </c>
      <c r="B413" t="s">
        <v>137</v>
      </c>
      <c r="C413" t="s">
        <v>142</v>
      </c>
      <c r="D413" t="s">
        <v>29</v>
      </c>
      <c r="E413" s="6">
        <v>45354</v>
      </c>
      <c r="F413" t="s">
        <v>557</v>
      </c>
      <c r="G413" t="s">
        <v>1356</v>
      </c>
      <c r="H413" t="s">
        <v>39</v>
      </c>
      <c r="I413" s="4">
        <v>2873.146307400777</v>
      </c>
      <c r="J413">
        <v>274</v>
      </c>
      <c r="K413" t="s">
        <v>35</v>
      </c>
      <c r="L413" s="6">
        <v>45360</v>
      </c>
      <c r="M413" t="s">
        <v>54</v>
      </c>
      <c r="N413" t="s">
        <v>1748</v>
      </c>
      <c r="O413" t="s">
        <v>114</v>
      </c>
      <c r="P413">
        <v>6</v>
      </c>
      <c r="Q413" t="s">
        <v>47</v>
      </c>
    </row>
    <row r="414" spans="1:17">
      <c r="A414">
        <v>64</v>
      </c>
      <c r="B414" t="s">
        <v>137</v>
      </c>
      <c r="C414" t="s">
        <v>139</v>
      </c>
      <c r="D414" t="s">
        <v>27</v>
      </c>
      <c r="E414" s="6">
        <v>45378</v>
      </c>
      <c r="F414" t="s">
        <v>558</v>
      </c>
      <c r="G414" t="s">
        <v>1357</v>
      </c>
      <c r="H414" t="s">
        <v>39</v>
      </c>
      <c r="I414" s="4">
        <v>32624.72357970652</v>
      </c>
      <c r="J414">
        <v>398</v>
      </c>
      <c r="K414" t="s">
        <v>34</v>
      </c>
      <c r="L414" s="6">
        <v>45399</v>
      </c>
      <c r="M414" t="s">
        <v>54</v>
      </c>
      <c r="N414" t="s">
        <v>1747</v>
      </c>
      <c r="O414" t="s">
        <v>114</v>
      </c>
      <c r="P414">
        <v>21</v>
      </c>
      <c r="Q414" t="s">
        <v>47</v>
      </c>
    </row>
    <row r="415" spans="1:17">
      <c r="A415">
        <v>65</v>
      </c>
      <c r="B415" t="s">
        <v>138</v>
      </c>
      <c r="C415" t="s">
        <v>141</v>
      </c>
      <c r="D415" t="s">
        <v>29</v>
      </c>
      <c r="E415" s="6">
        <v>45360</v>
      </c>
      <c r="F415" t="s">
        <v>559</v>
      </c>
      <c r="G415" t="s">
        <v>1358</v>
      </c>
      <c r="H415" t="s">
        <v>40</v>
      </c>
      <c r="I415" s="4">
        <v>26919.75523343161</v>
      </c>
      <c r="J415">
        <v>133</v>
      </c>
      <c r="K415" t="s">
        <v>34</v>
      </c>
      <c r="L415" s="6">
        <v>45387</v>
      </c>
      <c r="M415" t="s">
        <v>52</v>
      </c>
      <c r="N415" t="s">
        <v>1748</v>
      </c>
      <c r="O415" t="s">
        <v>114</v>
      </c>
      <c r="P415">
        <v>27</v>
      </c>
      <c r="Q415" t="s">
        <v>47</v>
      </c>
    </row>
    <row r="416" spans="1:17">
      <c r="A416">
        <v>33</v>
      </c>
      <c r="B416" t="s">
        <v>138</v>
      </c>
      <c r="C416" t="s">
        <v>140</v>
      </c>
      <c r="D416" t="s">
        <v>27</v>
      </c>
      <c r="E416" s="6">
        <v>45367</v>
      </c>
      <c r="F416" t="s">
        <v>560</v>
      </c>
      <c r="G416" t="s">
        <v>1359</v>
      </c>
      <c r="H416" t="s">
        <v>41</v>
      </c>
      <c r="I416" s="4">
        <v>13037.70971093645</v>
      </c>
      <c r="J416">
        <v>376</v>
      </c>
      <c r="K416" t="s">
        <v>36</v>
      </c>
      <c r="L416" s="6">
        <v>45390</v>
      </c>
      <c r="M416" t="s">
        <v>50</v>
      </c>
      <c r="N416" t="s">
        <v>1748</v>
      </c>
      <c r="O416" t="s">
        <v>114</v>
      </c>
      <c r="P416">
        <v>23</v>
      </c>
      <c r="Q416" t="s">
        <v>45</v>
      </c>
    </row>
    <row r="417" spans="1:17">
      <c r="A417">
        <v>50</v>
      </c>
      <c r="B417" t="s">
        <v>137</v>
      </c>
      <c r="C417" t="s">
        <v>143</v>
      </c>
      <c r="D417" t="s">
        <v>29</v>
      </c>
      <c r="E417" s="6">
        <v>45364</v>
      </c>
      <c r="F417" t="s">
        <v>561</v>
      </c>
      <c r="G417" t="s">
        <v>1360</v>
      </c>
      <c r="H417" t="s">
        <v>40</v>
      </c>
      <c r="I417" s="4">
        <v>2460.904900120694</v>
      </c>
      <c r="J417">
        <v>486</v>
      </c>
      <c r="K417" t="s">
        <v>35</v>
      </c>
      <c r="L417" s="6">
        <v>45386</v>
      </c>
      <c r="M417" t="s">
        <v>52</v>
      </c>
      <c r="N417" t="s">
        <v>1747</v>
      </c>
      <c r="O417" t="s">
        <v>114</v>
      </c>
      <c r="P417">
        <v>22</v>
      </c>
      <c r="Q417" t="s">
        <v>46</v>
      </c>
    </row>
    <row r="418" spans="1:17">
      <c r="A418">
        <v>81</v>
      </c>
      <c r="B418" t="s">
        <v>137</v>
      </c>
      <c r="C418" t="s">
        <v>143</v>
      </c>
      <c r="D418" t="s">
        <v>27</v>
      </c>
      <c r="E418" s="6">
        <v>45377</v>
      </c>
      <c r="F418" t="s">
        <v>562</v>
      </c>
      <c r="G418" t="s">
        <v>1361</v>
      </c>
      <c r="H418" t="s">
        <v>41</v>
      </c>
      <c r="I418" s="4">
        <v>15313.43747253537</v>
      </c>
      <c r="J418">
        <v>178</v>
      </c>
      <c r="K418" t="s">
        <v>36</v>
      </c>
      <c r="L418" s="6">
        <v>45383</v>
      </c>
      <c r="M418" t="s">
        <v>54</v>
      </c>
      <c r="N418" t="s">
        <v>1748</v>
      </c>
      <c r="O418" t="s">
        <v>114</v>
      </c>
      <c r="P418">
        <v>6</v>
      </c>
      <c r="Q418" t="s">
        <v>48</v>
      </c>
    </row>
    <row r="419" spans="1:17">
      <c r="A419">
        <v>78</v>
      </c>
      <c r="B419" t="s">
        <v>138</v>
      </c>
      <c r="C419" t="s">
        <v>146</v>
      </c>
      <c r="D419" t="s">
        <v>28</v>
      </c>
      <c r="E419" s="6">
        <v>45357</v>
      </c>
      <c r="F419" t="s">
        <v>563</v>
      </c>
      <c r="G419" t="s">
        <v>1362</v>
      </c>
      <c r="H419" t="s">
        <v>41</v>
      </c>
      <c r="I419" s="4">
        <v>18557.21685447436</v>
      </c>
      <c r="J419">
        <v>493</v>
      </c>
      <c r="K419" t="s">
        <v>35</v>
      </c>
      <c r="L419" s="6">
        <v>45367</v>
      </c>
      <c r="M419" t="s">
        <v>54</v>
      </c>
      <c r="N419" t="s">
        <v>1747</v>
      </c>
      <c r="O419" t="s">
        <v>114</v>
      </c>
      <c r="P419">
        <v>10</v>
      </c>
      <c r="Q419" t="s">
        <v>48</v>
      </c>
    </row>
    <row r="420" spans="1:17">
      <c r="A420">
        <v>65</v>
      </c>
      <c r="B420" t="s">
        <v>137</v>
      </c>
      <c r="C420" t="s">
        <v>142</v>
      </c>
      <c r="D420" t="s">
        <v>29</v>
      </c>
      <c r="E420" s="6">
        <v>45356</v>
      </c>
      <c r="F420" t="s">
        <v>564</v>
      </c>
      <c r="G420" t="s">
        <v>1363</v>
      </c>
      <c r="H420" t="s">
        <v>39</v>
      </c>
      <c r="I420" s="4">
        <v>13163.94379874328</v>
      </c>
      <c r="J420">
        <v>213</v>
      </c>
      <c r="K420" t="s">
        <v>36</v>
      </c>
      <c r="L420" s="6">
        <v>45364</v>
      </c>
      <c r="M420" t="s">
        <v>51</v>
      </c>
      <c r="N420" t="s">
        <v>1747</v>
      </c>
      <c r="O420" t="s">
        <v>114</v>
      </c>
      <c r="P420">
        <v>8</v>
      </c>
      <c r="Q420" t="s">
        <v>47</v>
      </c>
    </row>
    <row r="421" spans="1:17">
      <c r="A421">
        <v>22</v>
      </c>
      <c r="B421" t="s">
        <v>137</v>
      </c>
      <c r="C421" t="s">
        <v>139</v>
      </c>
      <c r="D421" t="s">
        <v>28</v>
      </c>
      <c r="E421" s="6">
        <v>45364</v>
      </c>
      <c r="F421" t="s">
        <v>565</v>
      </c>
      <c r="G421" t="s">
        <v>1364</v>
      </c>
      <c r="H421" t="s">
        <v>41</v>
      </c>
      <c r="I421" s="4">
        <v>42640.77291485578</v>
      </c>
      <c r="J421">
        <v>345</v>
      </c>
      <c r="K421" t="s">
        <v>34</v>
      </c>
      <c r="L421" s="6">
        <v>45379</v>
      </c>
      <c r="M421" t="s">
        <v>52</v>
      </c>
      <c r="N421" t="s">
        <v>1747</v>
      </c>
      <c r="O421" t="s">
        <v>114</v>
      </c>
      <c r="P421">
        <v>15</v>
      </c>
      <c r="Q421" t="s">
        <v>45</v>
      </c>
    </row>
    <row r="422" spans="1:17">
      <c r="A422">
        <v>46</v>
      </c>
      <c r="B422" t="s">
        <v>137</v>
      </c>
      <c r="C422" t="s">
        <v>139</v>
      </c>
      <c r="D422" t="s">
        <v>31</v>
      </c>
      <c r="E422" s="6">
        <v>45356</v>
      </c>
      <c r="F422" t="s">
        <v>566</v>
      </c>
      <c r="G422" t="s">
        <v>1318</v>
      </c>
      <c r="H422" t="s">
        <v>40</v>
      </c>
      <c r="I422" s="4">
        <v>19804.4915215725</v>
      </c>
      <c r="J422">
        <v>305</v>
      </c>
      <c r="K422" t="s">
        <v>35</v>
      </c>
      <c r="L422" s="6">
        <v>45377</v>
      </c>
      <c r="M422" t="s">
        <v>51</v>
      </c>
      <c r="N422" t="s">
        <v>1747</v>
      </c>
      <c r="O422" t="s">
        <v>114</v>
      </c>
      <c r="P422">
        <v>21</v>
      </c>
      <c r="Q422" t="s">
        <v>46</v>
      </c>
    </row>
    <row r="423" spans="1:17">
      <c r="A423">
        <v>20</v>
      </c>
      <c r="B423" t="s">
        <v>138</v>
      </c>
      <c r="C423" t="s">
        <v>146</v>
      </c>
      <c r="D423" t="s">
        <v>28</v>
      </c>
      <c r="E423" s="6">
        <v>45367</v>
      </c>
      <c r="F423" t="s">
        <v>567</v>
      </c>
      <c r="G423" t="s">
        <v>1365</v>
      </c>
      <c r="H423" t="s">
        <v>42</v>
      </c>
      <c r="I423" s="4">
        <v>42745.13358214236</v>
      </c>
      <c r="J423">
        <v>432</v>
      </c>
      <c r="K423" t="s">
        <v>36</v>
      </c>
      <c r="L423" s="6">
        <v>45394</v>
      </c>
      <c r="M423" t="s">
        <v>51</v>
      </c>
      <c r="N423" t="s">
        <v>1747</v>
      </c>
      <c r="O423" t="s">
        <v>114</v>
      </c>
      <c r="P423">
        <v>27</v>
      </c>
      <c r="Q423" t="s">
        <v>45</v>
      </c>
    </row>
    <row r="424" spans="1:17">
      <c r="A424">
        <v>18</v>
      </c>
      <c r="B424" t="s">
        <v>138</v>
      </c>
      <c r="C424" t="s">
        <v>142</v>
      </c>
      <c r="D424" t="s">
        <v>30</v>
      </c>
      <c r="E424" s="6">
        <v>45370</v>
      </c>
      <c r="F424" t="s">
        <v>568</v>
      </c>
      <c r="G424" t="s">
        <v>1366</v>
      </c>
      <c r="H424" t="s">
        <v>41</v>
      </c>
      <c r="I424" s="4">
        <v>45378.48388838075</v>
      </c>
      <c r="J424">
        <v>223</v>
      </c>
      <c r="K424" t="s">
        <v>35</v>
      </c>
      <c r="L424" s="6">
        <v>45378</v>
      </c>
      <c r="M424" t="s">
        <v>53</v>
      </c>
      <c r="N424" t="s">
        <v>1748</v>
      </c>
      <c r="O424" t="s">
        <v>114</v>
      </c>
      <c r="P424">
        <v>8</v>
      </c>
      <c r="Q424" t="s">
        <v>44</v>
      </c>
    </row>
    <row r="425" spans="1:17">
      <c r="A425">
        <v>35</v>
      </c>
      <c r="B425" t="s">
        <v>138</v>
      </c>
      <c r="C425" t="s">
        <v>139</v>
      </c>
      <c r="D425" t="s">
        <v>29</v>
      </c>
      <c r="E425" s="6">
        <v>45366</v>
      </c>
      <c r="F425" t="s">
        <v>569</v>
      </c>
      <c r="G425" t="s">
        <v>1367</v>
      </c>
      <c r="H425" t="s">
        <v>41</v>
      </c>
      <c r="I425" s="4">
        <v>5390.987522727607</v>
      </c>
      <c r="J425">
        <v>246</v>
      </c>
      <c r="K425" t="s">
        <v>34</v>
      </c>
      <c r="L425" s="6">
        <v>45376</v>
      </c>
      <c r="M425" t="s">
        <v>53</v>
      </c>
      <c r="N425" t="s">
        <v>1747</v>
      </c>
      <c r="O425" t="s">
        <v>114</v>
      </c>
      <c r="P425">
        <v>10</v>
      </c>
      <c r="Q425" t="s">
        <v>45</v>
      </c>
    </row>
    <row r="426" spans="1:17">
      <c r="A426">
        <v>50</v>
      </c>
      <c r="B426" t="s">
        <v>138</v>
      </c>
      <c r="C426" t="s">
        <v>140</v>
      </c>
      <c r="D426" t="s">
        <v>30</v>
      </c>
      <c r="E426" s="6">
        <v>45357</v>
      </c>
      <c r="F426" t="s">
        <v>570</v>
      </c>
      <c r="G426" t="s">
        <v>1368</v>
      </c>
      <c r="H426" t="s">
        <v>39</v>
      </c>
      <c r="I426" s="4">
        <v>11367.35579099401</v>
      </c>
      <c r="J426">
        <v>408</v>
      </c>
      <c r="K426" t="s">
        <v>35</v>
      </c>
      <c r="L426" s="6">
        <v>45378</v>
      </c>
      <c r="M426" t="s">
        <v>52</v>
      </c>
      <c r="N426" t="s">
        <v>1748</v>
      </c>
      <c r="O426" t="s">
        <v>114</v>
      </c>
      <c r="P426">
        <v>21</v>
      </c>
      <c r="Q426" t="s">
        <v>46</v>
      </c>
    </row>
    <row r="427" spans="1:17">
      <c r="A427">
        <v>59</v>
      </c>
      <c r="B427" t="s">
        <v>137</v>
      </c>
      <c r="C427" t="s">
        <v>139</v>
      </c>
      <c r="D427" t="s">
        <v>30</v>
      </c>
      <c r="E427" s="6">
        <v>45375</v>
      </c>
      <c r="F427" t="s">
        <v>571</v>
      </c>
      <c r="G427" t="s">
        <v>1369</v>
      </c>
      <c r="H427" t="s">
        <v>38</v>
      </c>
      <c r="I427" s="4">
        <v>22037.83900831671</v>
      </c>
      <c r="J427">
        <v>438</v>
      </c>
      <c r="K427" t="s">
        <v>36</v>
      </c>
      <c r="L427" s="6">
        <v>45385</v>
      </c>
      <c r="M427" t="s">
        <v>52</v>
      </c>
      <c r="N427" t="s">
        <v>1748</v>
      </c>
      <c r="O427" t="s">
        <v>114</v>
      </c>
      <c r="P427">
        <v>10</v>
      </c>
      <c r="Q427" t="s">
        <v>47</v>
      </c>
    </row>
    <row r="428" spans="1:17">
      <c r="A428">
        <v>47</v>
      </c>
      <c r="B428" t="s">
        <v>137</v>
      </c>
      <c r="C428" t="s">
        <v>144</v>
      </c>
      <c r="D428" t="s">
        <v>28</v>
      </c>
      <c r="E428" s="6">
        <v>45364</v>
      </c>
      <c r="F428" t="s">
        <v>572</v>
      </c>
      <c r="G428" t="s">
        <v>1370</v>
      </c>
      <c r="H428" t="s">
        <v>39</v>
      </c>
      <c r="I428" s="4">
        <v>15678.772098358</v>
      </c>
      <c r="J428">
        <v>432</v>
      </c>
      <c r="K428" t="s">
        <v>35</v>
      </c>
      <c r="L428" s="6">
        <v>45393</v>
      </c>
      <c r="M428" t="s">
        <v>52</v>
      </c>
      <c r="N428" t="s">
        <v>1747</v>
      </c>
      <c r="O428" t="s">
        <v>114</v>
      </c>
      <c r="P428">
        <v>29</v>
      </c>
      <c r="Q428" t="s">
        <v>46</v>
      </c>
    </row>
    <row r="429" spans="1:17">
      <c r="A429">
        <v>63</v>
      </c>
      <c r="B429" t="s">
        <v>137</v>
      </c>
      <c r="C429" t="s">
        <v>142</v>
      </c>
      <c r="D429" t="s">
        <v>27</v>
      </c>
      <c r="E429" s="6">
        <v>45379</v>
      </c>
      <c r="F429" t="s">
        <v>573</v>
      </c>
      <c r="G429" t="s">
        <v>1371</v>
      </c>
      <c r="H429" t="s">
        <v>41</v>
      </c>
      <c r="I429" s="4">
        <v>6407.886865393128</v>
      </c>
      <c r="J429">
        <v>293</v>
      </c>
      <c r="K429" t="s">
        <v>36</v>
      </c>
      <c r="L429" s="6">
        <v>45406</v>
      </c>
      <c r="M429" t="s">
        <v>52</v>
      </c>
      <c r="N429" t="s">
        <v>1747</v>
      </c>
      <c r="O429" t="s">
        <v>114</v>
      </c>
      <c r="P429">
        <v>27</v>
      </c>
      <c r="Q429" t="s">
        <v>47</v>
      </c>
    </row>
    <row r="430" spans="1:17">
      <c r="A430">
        <v>74</v>
      </c>
      <c r="B430" t="s">
        <v>137</v>
      </c>
      <c r="C430" t="s">
        <v>142</v>
      </c>
      <c r="D430" t="s">
        <v>29</v>
      </c>
      <c r="E430" s="6">
        <v>45358</v>
      </c>
      <c r="F430" t="s">
        <v>574</v>
      </c>
      <c r="G430" t="s">
        <v>1372</v>
      </c>
      <c r="H430" t="s">
        <v>40</v>
      </c>
      <c r="I430" s="4">
        <v>49065.79347085474</v>
      </c>
      <c r="J430">
        <v>105</v>
      </c>
      <c r="K430" t="s">
        <v>36</v>
      </c>
      <c r="L430" s="6">
        <v>45366</v>
      </c>
      <c r="M430" t="s">
        <v>51</v>
      </c>
      <c r="N430" t="s">
        <v>1746</v>
      </c>
      <c r="O430" t="s">
        <v>114</v>
      </c>
      <c r="P430">
        <v>8</v>
      </c>
      <c r="Q430" t="s">
        <v>48</v>
      </c>
    </row>
    <row r="431" spans="1:17">
      <c r="A431">
        <v>80</v>
      </c>
      <c r="B431" t="s">
        <v>137</v>
      </c>
      <c r="C431" t="s">
        <v>140</v>
      </c>
      <c r="D431" t="s">
        <v>27</v>
      </c>
      <c r="E431" s="6">
        <v>45375</v>
      </c>
      <c r="F431" t="s">
        <v>575</v>
      </c>
      <c r="G431" t="s">
        <v>1373</v>
      </c>
      <c r="H431" t="s">
        <v>40</v>
      </c>
      <c r="I431" s="4">
        <v>30065.31338431299</v>
      </c>
      <c r="J431">
        <v>335</v>
      </c>
      <c r="K431" t="s">
        <v>35</v>
      </c>
      <c r="L431" s="6">
        <v>45404</v>
      </c>
      <c r="M431" t="s">
        <v>50</v>
      </c>
      <c r="N431" t="s">
        <v>1746</v>
      </c>
      <c r="O431" t="s">
        <v>114</v>
      </c>
      <c r="P431">
        <v>29</v>
      </c>
      <c r="Q431" t="s">
        <v>48</v>
      </c>
    </row>
    <row r="432" spans="1:17">
      <c r="A432">
        <v>23</v>
      </c>
      <c r="B432" t="s">
        <v>137</v>
      </c>
      <c r="C432" t="s">
        <v>139</v>
      </c>
      <c r="D432" t="s">
        <v>29</v>
      </c>
      <c r="E432" s="6">
        <v>45356</v>
      </c>
      <c r="F432" t="s">
        <v>576</v>
      </c>
      <c r="G432" t="s">
        <v>1374</v>
      </c>
      <c r="H432" t="s">
        <v>42</v>
      </c>
      <c r="I432" s="4">
        <v>38654.41927419699</v>
      </c>
      <c r="J432">
        <v>103</v>
      </c>
      <c r="K432" t="s">
        <v>34</v>
      </c>
      <c r="L432" s="6">
        <v>45375</v>
      </c>
      <c r="M432" t="s">
        <v>54</v>
      </c>
      <c r="N432" t="s">
        <v>1746</v>
      </c>
      <c r="O432" t="s">
        <v>114</v>
      </c>
      <c r="P432">
        <v>19</v>
      </c>
      <c r="Q432" t="s">
        <v>45</v>
      </c>
    </row>
    <row r="433" spans="1:17">
      <c r="A433">
        <v>59</v>
      </c>
      <c r="B433" t="s">
        <v>138</v>
      </c>
      <c r="C433" t="s">
        <v>145</v>
      </c>
      <c r="D433" t="s">
        <v>28</v>
      </c>
      <c r="E433" s="6">
        <v>45355</v>
      </c>
      <c r="F433" t="s">
        <v>577</v>
      </c>
      <c r="G433" t="s">
        <v>1375</v>
      </c>
      <c r="H433" t="s">
        <v>42</v>
      </c>
      <c r="I433" s="4">
        <v>20264.46787489546</v>
      </c>
      <c r="J433">
        <v>459</v>
      </c>
      <c r="K433" t="s">
        <v>35</v>
      </c>
      <c r="L433" s="6">
        <v>45372</v>
      </c>
      <c r="M433" t="s">
        <v>54</v>
      </c>
      <c r="N433" t="s">
        <v>1747</v>
      </c>
      <c r="O433" t="s">
        <v>114</v>
      </c>
      <c r="P433">
        <v>17</v>
      </c>
      <c r="Q433" t="s">
        <v>47</v>
      </c>
    </row>
    <row r="434" spans="1:17">
      <c r="A434">
        <v>46</v>
      </c>
      <c r="B434" t="s">
        <v>137</v>
      </c>
      <c r="C434" t="s">
        <v>143</v>
      </c>
      <c r="D434" t="s">
        <v>27</v>
      </c>
      <c r="E434" s="6">
        <v>45373</v>
      </c>
      <c r="F434" t="s">
        <v>578</v>
      </c>
      <c r="G434" t="s">
        <v>1376</v>
      </c>
      <c r="H434" t="s">
        <v>39</v>
      </c>
      <c r="I434" s="4">
        <v>38819.65735942395</v>
      </c>
      <c r="J434">
        <v>344</v>
      </c>
      <c r="K434" t="s">
        <v>35</v>
      </c>
      <c r="L434" s="6">
        <v>45394</v>
      </c>
      <c r="M434" t="s">
        <v>53</v>
      </c>
      <c r="N434" t="s">
        <v>1746</v>
      </c>
      <c r="O434" t="s">
        <v>114</v>
      </c>
      <c r="P434">
        <v>21</v>
      </c>
      <c r="Q434" t="s">
        <v>46</v>
      </c>
    </row>
    <row r="435" spans="1:17">
      <c r="A435">
        <v>41</v>
      </c>
      <c r="B435" t="s">
        <v>138</v>
      </c>
      <c r="C435" t="s">
        <v>141</v>
      </c>
      <c r="D435" t="s">
        <v>29</v>
      </c>
      <c r="E435" s="6">
        <v>45373</v>
      </c>
      <c r="F435" t="s">
        <v>579</v>
      </c>
      <c r="G435" t="s">
        <v>1377</v>
      </c>
      <c r="H435" t="s">
        <v>41</v>
      </c>
      <c r="I435" s="4">
        <v>11789.85148224254</v>
      </c>
      <c r="J435">
        <v>177</v>
      </c>
      <c r="K435" t="s">
        <v>34</v>
      </c>
      <c r="L435" s="6">
        <v>45377</v>
      </c>
      <c r="M435" t="s">
        <v>50</v>
      </c>
      <c r="N435" t="s">
        <v>1747</v>
      </c>
      <c r="O435" t="s">
        <v>114</v>
      </c>
      <c r="P435">
        <v>4</v>
      </c>
      <c r="Q435" t="s">
        <v>46</v>
      </c>
    </row>
    <row r="436" spans="1:17">
      <c r="A436">
        <v>41</v>
      </c>
      <c r="B436" t="s">
        <v>137</v>
      </c>
      <c r="C436" t="s">
        <v>144</v>
      </c>
      <c r="D436" t="s">
        <v>27</v>
      </c>
      <c r="E436" s="6">
        <v>45356</v>
      </c>
      <c r="F436" t="s">
        <v>580</v>
      </c>
      <c r="G436" t="s">
        <v>1378</v>
      </c>
      <c r="H436" t="s">
        <v>40</v>
      </c>
      <c r="I436" s="4">
        <v>45801.00350363212</v>
      </c>
      <c r="J436">
        <v>444</v>
      </c>
      <c r="K436" t="s">
        <v>34</v>
      </c>
      <c r="L436" s="6">
        <v>45371</v>
      </c>
      <c r="M436" t="s">
        <v>51</v>
      </c>
      <c r="N436" t="s">
        <v>1748</v>
      </c>
      <c r="O436" t="s">
        <v>114</v>
      </c>
      <c r="P436">
        <v>15</v>
      </c>
      <c r="Q436" t="s">
        <v>46</v>
      </c>
    </row>
    <row r="437" spans="1:17">
      <c r="A437">
        <v>79</v>
      </c>
      <c r="B437" t="s">
        <v>138</v>
      </c>
      <c r="C437" t="s">
        <v>140</v>
      </c>
      <c r="D437" t="s">
        <v>28</v>
      </c>
      <c r="E437" s="6">
        <v>45357</v>
      </c>
      <c r="F437" t="s">
        <v>581</v>
      </c>
      <c r="G437" t="s">
        <v>1379</v>
      </c>
      <c r="H437" t="s">
        <v>42</v>
      </c>
      <c r="I437" s="4">
        <v>11197.78116529338</v>
      </c>
      <c r="J437">
        <v>148</v>
      </c>
      <c r="K437" t="s">
        <v>34</v>
      </c>
      <c r="L437" s="6">
        <v>45361</v>
      </c>
      <c r="M437" t="s">
        <v>54</v>
      </c>
      <c r="N437" t="s">
        <v>1746</v>
      </c>
      <c r="O437" t="s">
        <v>114</v>
      </c>
      <c r="P437">
        <v>4</v>
      </c>
      <c r="Q437" t="s">
        <v>48</v>
      </c>
    </row>
    <row r="438" spans="1:17">
      <c r="A438">
        <v>74</v>
      </c>
      <c r="B438" t="s">
        <v>137</v>
      </c>
      <c r="C438" t="s">
        <v>144</v>
      </c>
      <c r="D438" t="s">
        <v>32</v>
      </c>
      <c r="E438" s="6">
        <v>45363</v>
      </c>
      <c r="F438" t="s">
        <v>582</v>
      </c>
      <c r="G438" t="s">
        <v>1380</v>
      </c>
      <c r="H438" t="s">
        <v>40</v>
      </c>
      <c r="I438" s="4">
        <v>39571.64313565865</v>
      </c>
      <c r="J438">
        <v>424</v>
      </c>
      <c r="K438" t="s">
        <v>34</v>
      </c>
      <c r="L438" s="6">
        <v>45390</v>
      </c>
      <c r="M438" t="s">
        <v>52</v>
      </c>
      <c r="N438" t="s">
        <v>1748</v>
      </c>
      <c r="O438" t="s">
        <v>114</v>
      </c>
      <c r="P438">
        <v>27</v>
      </c>
      <c r="Q438" t="s">
        <v>48</v>
      </c>
    </row>
    <row r="439" spans="1:17">
      <c r="A439">
        <v>59</v>
      </c>
      <c r="B439" t="s">
        <v>137</v>
      </c>
      <c r="C439" t="s">
        <v>144</v>
      </c>
      <c r="D439" t="s">
        <v>29</v>
      </c>
      <c r="E439" s="6">
        <v>45374</v>
      </c>
      <c r="F439" t="s">
        <v>583</v>
      </c>
      <c r="G439" t="s">
        <v>1381</v>
      </c>
      <c r="H439" t="s">
        <v>41</v>
      </c>
      <c r="I439" s="4">
        <v>10399.97111020433</v>
      </c>
      <c r="J439">
        <v>496</v>
      </c>
      <c r="K439" t="s">
        <v>34</v>
      </c>
      <c r="L439" s="6">
        <v>45379</v>
      </c>
      <c r="M439" t="s">
        <v>50</v>
      </c>
      <c r="N439" t="s">
        <v>1747</v>
      </c>
      <c r="O439" t="s">
        <v>114</v>
      </c>
      <c r="P439">
        <v>5</v>
      </c>
      <c r="Q439" t="s">
        <v>47</v>
      </c>
    </row>
    <row r="440" spans="1:17">
      <c r="A440">
        <v>75</v>
      </c>
      <c r="B440" t="s">
        <v>137</v>
      </c>
      <c r="C440" t="s">
        <v>144</v>
      </c>
      <c r="D440" t="s">
        <v>27</v>
      </c>
      <c r="E440" s="6">
        <v>45367</v>
      </c>
      <c r="F440" t="s">
        <v>584</v>
      </c>
      <c r="G440" t="s">
        <v>1382</v>
      </c>
      <c r="H440" t="s">
        <v>39</v>
      </c>
      <c r="I440" s="4">
        <v>36561.53988482928</v>
      </c>
      <c r="J440">
        <v>175</v>
      </c>
      <c r="K440" t="s">
        <v>34</v>
      </c>
      <c r="L440" s="6">
        <v>45370</v>
      </c>
      <c r="M440" t="s">
        <v>54</v>
      </c>
      <c r="N440" t="s">
        <v>1748</v>
      </c>
      <c r="O440" t="s">
        <v>114</v>
      </c>
      <c r="P440">
        <v>3</v>
      </c>
      <c r="Q440" t="s">
        <v>48</v>
      </c>
    </row>
    <row r="441" spans="1:17">
      <c r="A441">
        <v>24</v>
      </c>
      <c r="B441" t="s">
        <v>137</v>
      </c>
      <c r="C441" t="s">
        <v>143</v>
      </c>
      <c r="D441" t="s">
        <v>29</v>
      </c>
      <c r="E441" s="6">
        <v>45353</v>
      </c>
      <c r="F441" t="s">
        <v>585</v>
      </c>
      <c r="G441" t="s">
        <v>1383</v>
      </c>
      <c r="H441" t="s">
        <v>40</v>
      </c>
      <c r="I441" s="4">
        <v>45949.20937392847</v>
      </c>
      <c r="J441">
        <v>201</v>
      </c>
      <c r="K441" t="s">
        <v>36</v>
      </c>
      <c r="L441" s="6">
        <v>45375</v>
      </c>
      <c r="M441" t="s">
        <v>54</v>
      </c>
      <c r="N441" t="s">
        <v>1746</v>
      </c>
      <c r="O441" t="s">
        <v>114</v>
      </c>
      <c r="P441">
        <v>22</v>
      </c>
      <c r="Q441" t="s">
        <v>45</v>
      </c>
    </row>
    <row r="442" spans="1:17">
      <c r="A442">
        <v>79</v>
      </c>
      <c r="B442" t="s">
        <v>137</v>
      </c>
      <c r="C442" t="s">
        <v>145</v>
      </c>
      <c r="D442" t="s">
        <v>32</v>
      </c>
      <c r="E442" s="6">
        <v>45365</v>
      </c>
      <c r="F442" t="s">
        <v>586</v>
      </c>
      <c r="G442" t="s">
        <v>1384</v>
      </c>
      <c r="H442" t="s">
        <v>41</v>
      </c>
      <c r="I442" s="4">
        <v>16068.29850311227</v>
      </c>
      <c r="J442">
        <v>286</v>
      </c>
      <c r="K442" t="s">
        <v>34</v>
      </c>
      <c r="L442" s="6">
        <v>45371</v>
      </c>
      <c r="M442" t="s">
        <v>50</v>
      </c>
      <c r="N442" t="s">
        <v>1748</v>
      </c>
      <c r="O442" t="s">
        <v>114</v>
      </c>
      <c r="P442">
        <v>6</v>
      </c>
      <c r="Q442" t="s">
        <v>48</v>
      </c>
    </row>
    <row r="443" spans="1:17">
      <c r="A443">
        <v>23</v>
      </c>
      <c r="B443" t="s">
        <v>137</v>
      </c>
      <c r="C443" t="s">
        <v>140</v>
      </c>
      <c r="D443" t="s">
        <v>30</v>
      </c>
      <c r="E443" s="6">
        <v>45381</v>
      </c>
      <c r="F443" t="s">
        <v>587</v>
      </c>
      <c r="G443" t="s">
        <v>1385</v>
      </c>
      <c r="H443" t="s">
        <v>39</v>
      </c>
      <c r="I443" s="4">
        <v>15580.58973250101</v>
      </c>
      <c r="J443">
        <v>471</v>
      </c>
      <c r="K443" t="s">
        <v>36</v>
      </c>
      <c r="L443" s="6">
        <v>45398</v>
      </c>
      <c r="M443" t="s">
        <v>50</v>
      </c>
      <c r="N443" t="s">
        <v>1747</v>
      </c>
      <c r="O443" t="s">
        <v>114</v>
      </c>
      <c r="P443">
        <v>17</v>
      </c>
      <c r="Q443" t="s">
        <v>45</v>
      </c>
    </row>
    <row r="444" spans="1:17">
      <c r="A444">
        <v>66</v>
      </c>
      <c r="B444" t="s">
        <v>137</v>
      </c>
      <c r="C444" t="s">
        <v>143</v>
      </c>
      <c r="D444" t="s">
        <v>27</v>
      </c>
      <c r="E444" s="6">
        <v>45357</v>
      </c>
      <c r="F444" t="s">
        <v>588</v>
      </c>
      <c r="G444" t="s">
        <v>1386</v>
      </c>
      <c r="H444" t="s">
        <v>40</v>
      </c>
      <c r="I444" s="4">
        <v>29632.1472388929</v>
      </c>
      <c r="J444">
        <v>375</v>
      </c>
      <c r="K444" t="s">
        <v>36</v>
      </c>
      <c r="L444" s="6">
        <v>45385</v>
      </c>
      <c r="M444" t="s">
        <v>51</v>
      </c>
      <c r="N444" t="s">
        <v>1746</v>
      </c>
      <c r="O444" t="s">
        <v>114</v>
      </c>
      <c r="P444">
        <v>28</v>
      </c>
      <c r="Q444" t="s">
        <v>48</v>
      </c>
    </row>
    <row r="445" spans="1:17">
      <c r="A445">
        <v>56</v>
      </c>
      <c r="B445" t="s">
        <v>138</v>
      </c>
      <c r="C445" t="s">
        <v>146</v>
      </c>
      <c r="D445" t="s">
        <v>27</v>
      </c>
      <c r="E445" s="6">
        <v>45372</v>
      </c>
      <c r="F445" t="s">
        <v>589</v>
      </c>
      <c r="G445" t="s">
        <v>1387</v>
      </c>
      <c r="H445" t="s">
        <v>39</v>
      </c>
      <c r="I445" s="4">
        <v>35016.04639209971</v>
      </c>
      <c r="J445">
        <v>344</v>
      </c>
      <c r="K445" t="s">
        <v>36</v>
      </c>
      <c r="L445" s="6">
        <v>45374</v>
      </c>
      <c r="M445" t="s">
        <v>53</v>
      </c>
      <c r="N445" t="s">
        <v>1746</v>
      </c>
      <c r="O445" t="s">
        <v>114</v>
      </c>
      <c r="P445">
        <v>2</v>
      </c>
      <c r="Q445" t="s">
        <v>47</v>
      </c>
    </row>
    <row r="446" spans="1:17">
      <c r="A446">
        <v>62</v>
      </c>
      <c r="B446" t="s">
        <v>137</v>
      </c>
      <c r="C446" t="s">
        <v>143</v>
      </c>
      <c r="D446" t="s">
        <v>28</v>
      </c>
      <c r="E446" s="6">
        <v>45382</v>
      </c>
      <c r="F446" t="s">
        <v>590</v>
      </c>
      <c r="G446" t="s">
        <v>1388</v>
      </c>
      <c r="H446" t="s">
        <v>39</v>
      </c>
      <c r="I446" s="4">
        <v>6967.623385955389</v>
      </c>
      <c r="J446">
        <v>125</v>
      </c>
      <c r="K446" t="s">
        <v>34</v>
      </c>
      <c r="L446" s="6">
        <v>45411</v>
      </c>
      <c r="M446" t="s">
        <v>50</v>
      </c>
      <c r="N446" t="s">
        <v>1746</v>
      </c>
      <c r="O446" t="s">
        <v>114</v>
      </c>
      <c r="P446">
        <v>29</v>
      </c>
      <c r="Q446" t="s">
        <v>47</v>
      </c>
    </row>
    <row r="447" spans="1:17">
      <c r="A447">
        <v>38</v>
      </c>
      <c r="B447" t="s">
        <v>137</v>
      </c>
      <c r="C447" t="s">
        <v>144</v>
      </c>
      <c r="D447" t="s">
        <v>29</v>
      </c>
      <c r="E447" s="6">
        <v>45355</v>
      </c>
      <c r="F447" t="s">
        <v>591</v>
      </c>
      <c r="G447" t="s">
        <v>1389</v>
      </c>
      <c r="H447" t="s">
        <v>42</v>
      </c>
      <c r="I447" s="4">
        <v>30738.33947683166</v>
      </c>
      <c r="J447">
        <v>366</v>
      </c>
      <c r="K447" t="s">
        <v>34</v>
      </c>
      <c r="L447" s="6">
        <v>45377</v>
      </c>
      <c r="M447" t="s">
        <v>53</v>
      </c>
      <c r="N447" t="s">
        <v>1748</v>
      </c>
      <c r="O447" t="s">
        <v>114</v>
      </c>
      <c r="P447">
        <v>22</v>
      </c>
      <c r="Q447" t="s">
        <v>46</v>
      </c>
    </row>
    <row r="448" spans="1:17">
      <c r="A448">
        <v>28</v>
      </c>
      <c r="B448" t="s">
        <v>138</v>
      </c>
      <c r="C448" t="s">
        <v>142</v>
      </c>
      <c r="D448" t="s">
        <v>30</v>
      </c>
      <c r="E448" s="6">
        <v>45382</v>
      </c>
      <c r="F448" t="s">
        <v>592</v>
      </c>
      <c r="G448" t="s">
        <v>1390</v>
      </c>
      <c r="H448" t="s">
        <v>39</v>
      </c>
      <c r="I448" s="4">
        <v>30851.00210314329</v>
      </c>
      <c r="J448">
        <v>375</v>
      </c>
      <c r="K448" t="s">
        <v>35</v>
      </c>
      <c r="L448" s="6">
        <v>45390</v>
      </c>
      <c r="M448" t="s">
        <v>51</v>
      </c>
      <c r="N448" t="s">
        <v>1746</v>
      </c>
      <c r="O448" t="s">
        <v>114</v>
      </c>
      <c r="P448">
        <v>8</v>
      </c>
      <c r="Q448" t="s">
        <v>45</v>
      </c>
    </row>
    <row r="449" spans="1:17">
      <c r="A449">
        <v>60</v>
      </c>
      <c r="B449" t="s">
        <v>137</v>
      </c>
      <c r="C449" t="s">
        <v>143</v>
      </c>
      <c r="D449" t="s">
        <v>29</v>
      </c>
      <c r="E449" s="6">
        <v>45356</v>
      </c>
      <c r="F449" t="s">
        <v>593</v>
      </c>
      <c r="G449" t="s">
        <v>1391</v>
      </c>
      <c r="H449" t="s">
        <v>38</v>
      </c>
      <c r="I449" s="4">
        <v>30746.62735647686</v>
      </c>
      <c r="J449">
        <v>243</v>
      </c>
      <c r="K449" t="s">
        <v>36</v>
      </c>
      <c r="L449" s="6">
        <v>45384</v>
      </c>
      <c r="M449" t="s">
        <v>53</v>
      </c>
      <c r="N449" t="s">
        <v>1748</v>
      </c>
      <c r="O449" t="s">
        <v>114</v>
      </c>
      <c r="P449">
        <v>28</v>
      </c>
      <c r="Q449" t="s">
        <v>47</v>
      </c>
    </row>
    <row r="450" spans="1:17">
      <c r="A450">
        <v>58</v>
      </c>
      <c r="B450" t="s">
        <v>137</v>
      </c>
      <c r="C450" t="s">
        <v>140</v>
      </c>
      <c r="D450" t="s">
        <v>29</v>
      </c>
      <c r="E450" s="6">
        <v>45369</v>
      </c>
      <c r="F450" t="s">
        <v>594</v>
      </c>
      <c r="G450" t="s">
        <v>1392</v>
      </c>
      <c r="H450" t="s">
        <v>38</v>
      </c>
      <c r="I450" s="4">
        <v>38816.96350910013</v>
      </c>
      <c r="J450">
        <v>150</v>
      </c>
      <c r="K450" t="s">
        <v>35</v>
      </c>
      <c r="L450" s="6">
        <v>45380</v>
      </c>
      <c r="M450" t="s">
        <v>54</v>
      </c>
      <c r="N450" t="s">
        <v>1746</v>
      </c>
      <c r="O450" t="s">
        <v>114</v>
      </c>
      <c r="P450">
        <v>11</v>
      </c>
      <c r="Q450" t="s">
        <v>47</v>
      </c>
    </row>
    <row r="451" spans="1:17">
      <c r="A451">
        <v>42</v>
      </c>
      <c r="B451" t="s">
        <v>138</v>
      </c>
      <c r="C451" t="s">
        <v>143</v>
      </c>
      <c r="D451" t="s">
        <v>27</v>
      </c>
      <c r="E451" s="6">
        <v>45356</v>
      </c>
      <c r="F451" t="s">
        <v>595</v>
      </c>
      <c r="G451" t="s">
        <v>1393</v>
      </c>
      <c r="H451" t="s">
        <v>40</v>
      </c>
      <c r="I451" s="4">
        <v>32061.57716125474</v>
      </c>
      <c r="J451">
        <v>333</v>
      </c>
      <c r="K451" t="s">
        <v>35</v>
      </c>
      <c r="L451" s="6">
        <v>45376</v>
      </c>
      <c r="M451" t="s">
        <v>54</v>
      </c>
      <c r="N451" t="s">
        <v>1747</v>
      </c>
      <c r="O451" t="s">
        <v>114</v>
      </c>
      <c r="P451">
        <v>20</v>
      </c>
      <c r="Q451" t="s">
        <v>46</v>
      </c>
    </row>
    <row r="452" spans="1:17">
      <c r="A452">
        <v>55</v>
      </c>
      <c r="B452" t="s">
        <v>137</v>
      </c>
      <c r="C452" t="s">
        <v>146</v>
      </c>
      <c r="D452" t="s">
        <v>31</v>
      </c>
      <c r="E452" s="6">
        <v>45352</v>
      </c>
      <c r="F452" t="s">
        <v>596</v>
      </c>
      <c r="G452" t="s">
        <v>1394</v>
      </c>
      <c r="H452" t="s">
        <v>38</v>
      </c>
      <c r="I452" s="4">
        <v>40757.56980336487</v>
      </c>
      <c r="J452">
        <v>451</v>
      </c>
      <c r="K452" t="s">
        <v>34</v>
      </c>
      <c r="L452" s="6">
        <v>45360</v>
      </c>
      <c r="M452" t="s">
        <v>50</v>
      </c>
      <c r="N452" t="s">
        <v>1746</v>
      </c>
      <c r="O452" t="s">
        <v>114</v>
      </c>
      <c r="P452">
        <v>8</v>
      </c>
      <c r="Q452" t="s">
        <v>47</v>
      </c>
    </row>
    <row r="453" spans="1:17">
      <c r="A453">
        <v>37</v>
      </c>
      <c r="B453" t="s">
        <v>137</v>
      </c>
      <c r="C453" t="s">
        <v>140</v>
      </c>
      <c r="D453" t="s">
        <v>32</v>
      </c>
      <c r="E453" s="6">
        <v>45368</v>
      </c>
      <c r="F453" t="s">
        <v>597</v>
      </c>
      <c r="G453" t="s">
        <v>1395</v>
      </c>
      <c r="H453" t="s">
        <v>38</v>
      </c>
      <c r="I453" s="4">
        <v>38296.56542768334</v>
      </c>
      <c r="J453">
        <v>174</v>
      </c>
      <c r="K453" t="s">
        <v>35</v>
      </c>
      <c r="L453" s="6">
        <v>45382</v>
      </c>
      <c r="M453" t="s">
        <v>51</v>
      </c>
      <c r="N453" t="s">
        <v>1747</v>
      </c>
      <c r="O453" t="s">
        <v>114</v>
      </c>
      <c r="P453">
        <v>14</v>
      </c>
      <c r="Q453" t="s">
        <v>46</v>
      </c>
    </row>
    <row r="454" spans="1:17">
      <c r="A454">
        <v>20</v>
      </c>
      <c r="B454" t="s">
        <v>137</v>
      </c>
      <c r="C454" t="s">
        <v>146</v>
      </c>
      <c r="D454" t="s">
        <v>27</v>
      </c>
      <c r="E454" s="6">
        <v>45363</v>
      </c>
      <c r="F454" t="s">
        <v>598</v>
      </c>
      <c r="G454" t="s">
        <v>1396</v>
      </c>
      <c r="H454" t="s">
        <v>39</v>
      </c>
      <c r="I454" s="4">
        <v>38447.51138359063</v>
      </c>
      <c r="J454">
        <v>402</v>
      </c>
      <c r="K454" t="s">
        <v>34</v>
      </c>
      <c r="L454" s="6">
        <v>45373</v>
      </c>
      <c r="M454" t="s">
        <v>50</v>
      </c>
      <c r="N454" t="s">
        <v>1746</v>
      </c>
      <c r="O454" t="s">
        <v>114</v>
      </c>
      <c r="P454">
        <v>10</v>
      </c>
      <c r="Q454" t="s">
        <v>45</v>
      </c>
    </row>
    <row r="455" spans="1:17">
      <c r="A455">
        <v>60</v>
      </c>
      <c r="B455" t="s">
        <v>138</v>
      </c>
      <c r="C455" t="s">
        <v>144</v>
      </c>
      <c r="D455" t="s">
        <v>28</v>
      </c>
      <c r="E455" s="6">
        <v>45367</v>
      </c>
      <c r="F455" t="s">
        <v>599</v>
      </c>
      <c r="G455" t="s">
        <v>1397</v>
      </c>
      <c r="H455" t="s">
        <v>42</v>
      </c>
      <c r="I455" s="4">
        <v>26393.96064888779</v>
      </c>
      <c r="J455">
        <v>352</v>
      </c>
      <c r="K455" t="s">
        <v>36</v>
      </c>
      <c r="L455" s="6">
        <v>45379</v>
      </c>
      <c r="M455" t="s">
        <v>51</v>
      </c>
      <c r="N455" t="s">
        <v>1748</v>
      </c>
      <c r="O455" t="s">
        <v>114</v>
      </c>
      <c r="P455">
        <v>12</v>
      </c>
      <c r="Q455" t="s">
        <v>47</v>
      </c>
    </row>
    <row r="456" spans="1:17">
      <c r="A456">
        <v>50</v>
      </c>
      <c r="B456" t="s">
        <v>137</v>
      </c>
      <c r="C456" t="s">
        <v>144</v>
      </c>
      <c r="D456" t="s">
        <v>29</v>
      </c>
      <c r="E456" s="6">
        <v>45355</v>
      </c>
      <c r="F456" t="s">
        <v>600</v>
      </c>
      <c r="G456" t="s">
        <v>1398</v>
      </c>
      <c r="H456" t="s">
        <v>42</v>
      </c>
      <c r="I456" s="4">
        <v>48332.36491581771</v>
      </c>
      <c r="J456">
        <v>138</v>
      </c>
      <c r="K456" t="s">
        <v>34</v>
      </c>
      <c r="L456" s="6">
        <v>45363</v>
      </c>
      <c r="M456" t="s">
        <v>53</v>
      </c>
      <c r="N456" t="s">
        <v>1748</v>
      </c>
      <c r="O456" t="s">
        <v>114</v>
      </c>
      <c r="P456">
        <v>8</v>
      </c>
      <c r="Q456" t="s">
        <v>46</v>
      </c>
    </row>
    <row r="457" spans="1:17">
      <c r="A457">
        <v>67</v>
      </c>
      <c r="B457" t="s">
        <v>137</v>
      </c>
      <c r="C457" t="s">
        <v>145</v>
      </c>
      <c r="D457" t="s">
        <v>29</v>
      </c>
      <c r="E457" s="6">
        <v>45375</v>
      </c>
      <c r="F457" t="s">
        <v>601</v>
      </c>
      <c r="G457" t="s">
        <v>1399</v>
      </c>
      <c r="H457" t="s">
        <v>38</v>
      </c>
      <c r="I457" s="4">
        <v>9115.996687483324</v>
      </c>
      <c r="J457">
        <v>104</v>
      </c>
      <c r="K457" t="s">
        <v>36</v>
      </c>
      <c r="L457" s="6">
        <v>45385</v>
      </c>
      <c r="M457" t="s">
        <v>54</v>
      </c>
      <c r="N457" t="s">
        <v>1748</v>
      </c>
      <c r="O457" t="s">
        <v>114</v>
      </c>
      <c r="P457">
        <v>10</v>
      </c>
      <c r="Q457" t="s">
        <v>48</v>
      </c>
    </row>
    <row r="458" spans="1:17">
      <c r="A458">
        <v>45</v>
      </c>
      <c r="B458" t="s">
        <v>137</v>
      </c>
      <c r="C458" t="s">
        <v>144</v>
      </c>
      <c r="D458" t="s">
        <v>28</v>
      </c>
      <c r="E458" s="6">
        <v>45361</v>
      </c>
      <c r="F458" t="s">
        <v>602</v>
      </c>
      <c r="G458" t="s">
        <v>1400</v>
      </c>
      <c r="H458" t="s">
        <v>40</v>
      </c>
      <c r="I458" s="4">
        <v>29465.53734017734</v>
      </c>
      <c r="J458">
        <v>446</v>
      </c>
      <c r="K458" t="s">
        <v>34</v>
      </c>
      <c r="L458" s="6">
        <v>45368</v>
      </c>
      <c r="M458" t="s">
        <v>51</v>
      </c>
      <c r="N458" t="s">
        <v>1748</v>
      </c>
      <c r="O458" t="s">
        <v>114</v>
      </c>
      <c r="P458">
        <v>7</v>
      </c>
      <c r="Q458" t="s">
        <v>46</v>
      </c>
    </row>
    <row r="459" spans="1:17">
      <c r="A459">
        <v>84</v>
      </c>
      <c r="B459" t="s">
        <v>137</v>
      </c>
      <c r="C459" t="s">
        <v>140</v>
      </c>
      <c r="D459" t="s">
        <v>32</v>
      </c>
      <c r="E459" s="6">
        <v>45363</v>
      </c>
      <c r="F459" t="s">
        <v>603</v>
      </c>
      <c r="G459" t="s">
        <v>1401</v>
      </c>
      <c r="H459" t="s">
        <v>42</v>
      </c>
      <c r="I459" s="4">
        <v>3899.627794400939</v>
      </c>
      <c r="J459">
        <v>202</v>
      </c>
      <c r="K459" t="s">
        <v>36</v>
      </c>
      <c r="L459" s="6">
        <v>45376</v>
      </c>
      <c r="M459" t="s">
        <v>52</v>
      </c>
      <c r="N459" t="s">
        <v>1748</v>
      </c>
      <c r="O459" t="s">
        <v>114</v>
      </c>
      <c r="P459">
        <v>13</v>
      </c>
      <c r="Q459" t="s">
        <v>48</v>
      </c>
    </row>
    <row r="460" spans="1:17">
      <c r="A460">
        <v>57</v>
      </c>
      <c r="B460" t="s">
        <v>138</v>
      </c>
      <c r="C460" t="s">
        <v>144</v>
      </c>
      <c r="D460" t="s">
        <v>29</v>
      </c>
      <c r="E460" s="6">
        <v>45376</v>
      </c>
      <c r="F460" t="s">
        <v>604</v>
      </c>
      <c r="G460" t="s">
        <v>1402</v>
      </c>
      <c r="H460" t="s">
        <v>39</v>
      </c>
      <c r="I460" s="4">
        <v>5137.411382229368</v>
      </c>
      <c r="J460">
        <v>467</v>
      </c>
      <c r="K460" t="s">
        <v>36</v>
      </c>
      <c r="L460" s="6">
        <v>45382</v>
      </c>
      <c r="M460" t="s">
        <v>50</v>
      </c>
      <c r="N460" t="s">
        <v>1748</v>
      </c>
      <c r="O460" t="s">
        <v>114</v>
      </c>
      <c r="P460">
        <v>6</v>
      </c>
      <c r="Q460" t="s">
        <v>47</v>
      </c>
    </row>
    <row r="461" spans="1:17">
      <c r="A461">
        <v>24</v>
      </c>
      <c r="B461" t="s">
        <v>137</v>
      </c>
      <c r="C461" t="s">
        <v>143</v>
      </c>
      <c r="D461" t="s">
        <v>27</v>
      </c>
      <c r="E461" s="6">
        <v>45356</v>
      </c>
      <c r="F461" t="s">
        <v>605</v>
      </c>
      <c r="G461" t="s">
        <v>1403</v>
      </c>
      <c r="H461" t="s">
        <v>39</v>
      </c>
      <c r="I461" s="4">
        <v>21398.4221218545</v>
      </c>
      <c r="J461">
        <v>374</v>
      </c>
      <c r="K461" t="s">
        <v>34</v>
      </c>
      <c r="L461" s="6">
        <v>45378</v>
      </c>
      <c r="M461" t="s">
        <v>52</v>
      </c>
      <c r="N461" t="s">
        <v>1748</v>
      </c>
      <c r="O461" t="s">
        <v>114</v>
      </c>
      <c r="P461">
        <v>22</v>
      </c>
      <c r="Q461" t="s">
        <v>45</v>
      </c>
    </row>
    <row r="462" spans="1:17">
      <c r="A462">
        <v>65</v>
      </c>
      <c r="B462" t="s">
        <v>137</v>
      </c>
      <c r="C462" t="s">
        <v>140</v>
      </c>
      <c r="D462" t="s">
        <v>30</v>
      </c>
      <c r="E462" s="6">
        <v>45366</v>
      </c>
      <c r="F462" t="s">
        <v>606</v>
      </c>
      <c r="G462" t="s">
        <v>1404</v>
      </c>
      <c r="H462" t="s">
        <v>39</v>
      </c>
      <c r="I462" s="4">
        <v>20160.3453464147</v>
      </c>
      <c r="J462">
        <v>108</v>
      </c>
      <c r="K462" t="s">
        <v>36</v>
      </c>
      <c r="L462" s="6">
        <v>45385</v>
      </c>
      <c r="M462" t="s">
        <v>52</v>
      </c>
      <c r="N462" t="s">
        <v>1747</v>
      </c>
      <c r="O462" t="s">
        <v>114</v>
      </c>
      <c r="P462">
        <v>19</v>
      </c>
      <c r="Q462" t="s">
        <v>47</v>
      </c>
    </row>
    <row r="463" spans="1:17">
      <c r="A463">
        <v>71</v>
      </c>
      <c r="B463" t="s">
        <v>138</v>
      </c>
      <c r="C463" t="s">
        <v>139</v>
      </c>
      <c r="D463" t="s">
        <v>30</v>
      </c>
      <c r="E463" s="6">
        <v>45365</v>
      </c>
      <c r="F463" t="s">
        <v>607</v>
      </c>
      <c r="G463" t="s">
        <v>1405</v>
      </c>
      <c r="H463" t="s">
        <v>38</v>
      </c>
      <c r="I463" s="4">
        <v>7375.715903655697</v>
      </c>
      <c r="J463">
        <v>246</v>
      </c>
      <c r="K463" t="s">
        <v>34</v>
      </c>
      <c r="L463" s="6">
        <v>45393</v>
      </c>
      <c r="M463" t="s">
        <v>52</v>
      </c>
      <c r="N463" t="s">
        <v>1746</v>
      </c>
      <c r="O463" t="s">
        <v>114</v>
      </c>
      <c r="P463">
        <v>28</v>
      </c>
      <c r="Q463" t="s">
        <v>48</v>
      </c>
    </row>
    <row r="464" spans="1:17">
      <c r="A464">
        <v>45</v>
      </c>
      <c r="B464" t="s">
        <v>138</v>
      </c>
      <c r="C464" t="s">
        <v>144</v>
      </c>
      <c r="D464" t="s">
        <v>30</v>
      </c>
      <c r="E464" s="6">
        <v>45373</v>
      </c>
      <c r="F464" t="s">
        <v>608</v>
      </c>
      <c r="G464" t="s">
        <v>1406</v>
      </c>
      <c r="H464" t="s">
        <v>40</v>
      </c>
      <c r="I464" s="4">
        <v>28774.10241091946</v>
      </c>
      <c r="J464">
        <v>348</v>
      </c>
      <c r="K464" t="s">
        <v>36</v>
      </c>
      <c r="L464" s="6">
        <v>45376</v>
      </c>
      <c r="M464" t="s">
        <v>53</v>
      </c>
      <c r="N464" t="s">
        <v>1746</v>
      </c>
      <c r="O464" t="s">
        <v>114</v>
      </c>
      <c r="P464">
        <v>3</v>
      </c>
      <c r="Q464" t="s">
        <v>46</v>
      </c>
    </row>
    <row r="465" spans="1:17">
      <c r="A465">
        <v>72</v>
      </c>
      <c r="B465" t="s">
        <v>138</v>
      </c>
      <c r="C465" t="s">
        <v>140</v>
      </c>
      <c r="D465" t="s">
        <v>28</v>
      </c>
      <c r="E465" s="6">
        <v>45373</v>
      </c>
      <c r="F465" t="s">
        <v>609</v>
      </c>
      <c r="G465" t="s">
        <v>1407</v>
      </c>
      <c r="H465" t="s">
        <v>41</v>
      </c>
      <c r="I465" s="4">
        <v>20935.89415083696</v>
      </c>
      <c r="J465">
        <v>184</v>
      </c>
      <c r="K465" t="s">
        <v>34</v>
      </c>
      <c r="L465" s="6">
        <v>45384</v>
      </c>
      <c r="M465" t="s">
        <v>53</v>
      </c>
      <c r="N465" t="s">
        <v>1748</v>
      </c>
      <c r="O465" t="s">
        <v>114</v>
      </c>
      <c r="P465">
        <v>11</v>
      </c>
      <c r="Q465" t="s">
        <v>48</v>
      </c>
    </row>
    <row r="466" spans="1:17">
      <c r="A466">
        <v>47</v>
      </c>
      <c r="B466" t="s">
        <v>137</v>
      </c>
      <c r="C466" t="s">
        <v>145</v>
      </c>
      <c r="D466" t="s">
        <v>32</v>
      </c>
      <c r="E466" s="6">
        <v>45367</v>
      </c>
      <c r="F466" t="s">
        <v>610</v>
      </c>
      <c r="G466" t="s">
        <v>1408</v>
      </c>
      <c r="H466" t="s">
        <v>41</v>
      </c>
      <c r="I466" s="4">
        <v>1103.727167978048</v>
      </c>
      <c r="J466">
        <v>280</v>
      </c>
      <c r="K466" t="s">
        <v>34</v>
      </c>
      <c r="L466" s="6">
        <v>45381</v>
      </c>
      <c r="M466" t="s">
        <v>54</v>
      </c>
      <c r="N466" t="s">
        <v>1748</v>
      </c>
      <c r="O466" t="s">
        <v>114</v>
      </c>
      <c r="P466">
        <v>14</v>
      </c>
      <c r="Q466" t="s">
        <v>46</v>
      </c>
    </row>
    <row r="467" spans="1:17">
      <c r="A467">
        <v>44</v>
      </c>
      <c r="B467" t="s">
        <v>138</v>
      </c>
      <c r="C467" t="s">
        <v>141</v>
      </c>
      <c r="D467" t="s">
        <v>32</v>
      </c>
      <c r="E467" s="6">
        <v>45380</v>
      </c>
      <c r="F467" t="s">
        <v>611</v>
      </c>
      <c r="G467" t="s">
        <v>1409</v>
      </c>
      <c r="H467" t="s">
        <v>42</v>
      </c>
      <c r="I467" s="4">
        <v>15672.64323476969</v>
      </c>
      <c r="J467">
        <v>377</v>
      </c>
      <c r="K467" t="s">
        <v>34</v>
      </c>
      <c r="L467" s="6">
        <v>45409</v>
      </c>
      <c r="M467" t="s">
        <v>50</v>
      </c>
      <c r="N467" t="s">
        <v>1748</v>
      </c>
      <c r="O467" t="s">
        <v>114</v>
      </c>
      <c r="P467">
        <v>29</v>
      </c>
      <c r="Q467" t="s">
        <v>46</v>
      </c>
    </row>
    <row r="468" spans="1:17">
      <c r="A468">
        <v>67</v>
      </c>
      <c r="B468" t="s">
        <v>138</v>
      </c>
      <c r="C468" t="s">
        <v>143</v>
      </c>
      <c r="D468" t="s">
        <v>28</v>
      </c>
      <c r="E468" s="6">
        <v>45364</v>
      </c>
      <c r="F468" t="s">
        <v>612</v>
      </c>
      <c r="G468" t="s">
        <v>1410</v>
      </c>
      <c r="H468" t="s">
        <v>40</v>
      </c>
      <c r="I468" s="4">
        <v>3185.95224434195</v>
      </c>
      <c r="J468">
        <v>295</v>
      </c>
      <c r="K468" t="s">
        <v>36</v>
      </c>
      <c r="L468" s="6">
        <v>45390</v>
      </c>
      <c r="M468" t="s">
        <v>50</v>
      </c>
      <c r="N468" t="s">
        <v>1748</v>
      </c>
      <c r="O468" t="s">
        <v>114</v>
      </c>
      <c r="P468">
        <v>26</v>
      </c>
      <c r="Q468" t="s">
        <v>48</v>
      </c>
    </row>
    <row r="469" spans="1:17">
      <c r="A469">
        <v>32</v>
      </c>
      <c r="B469" t="s">
        <v>138</v>
      </c>
      <c r="C469" t="s">
        <v>146</v>
      </c>
      <c r="D469" t="s">
        <v>29</v>
      </c>
      <c r="E469" s="6">
        <v>45356</v>
      </c>
      <c r="F469" t="s">
        <v>613</v>
      </c>
      <c r="G469" t="s">
        <v>1411</v>
      </c>
      <c r="H469" t="s">
        <v>39</v>
      </c>
      <c r="I469" s="4">
        <v>15457.29567454265</v>
      </c>
      <c r="J469">
        <v>442</v>
      </c>
      <c r="K469" t="s">
        <v>36</v>
      </c>
      <c r="L469" s="6">
        <v>45383</v>
      </c>
      <c r="M469" t="s">
        <v>50</v>
      </c>
      <c r="N469" t="s">
        <v>1746</v>
      </c>
      <c r="O469" t="s">
        <v>114</v>
      </c>
      <c r="P469">
        <v>27</v>
      </c>
      <c r="Q469" t="s">
        <v>45</v>
      </c>
    </row>
    <row r="470" spans="1:17">
      <c r="A470">
        <v>67</v>
      </c>
      <c r="B470" t="s">
        <v>138</v>
      </c>
      <c r="C470" t="s">
        <v>142</v>
      </c>
      <c r="D470" t="s">
        <v>30</v>
      </c>
      <c r="E470" s="6">
        <v>45376</v>
      </c>
      <c r="F470" t="s">
        <v>614</v>
      </c>
      <c r="G470" t="s">
        <v>1412</v>
      </c>
      <c r="H470" t="s">
        <v>40</v>
      </c>
      <c r="I470" s="4">
        <v>33448.13320783043</v>
      </c>
      <c r="J470">
        <v>292</v>
      </c>
      <c r="K470" t="s">
        <v>35</v>
      </c>
      <c r="L470" s="6">
        <v>45389</v>
      </c>
      <c r="M470" t="s">
        <v>53</v>
      </c>
      <c r="N470" t="s">
        <v>1747</v>
      </c>
      <c r="O470" t="s">
        <v>114</v>
      </c>
      <c r="P470">
        <v>13</v>
      </c>
      <c r="Q470" t="s">
        <v>48</v>
      </c>
    </row>
    <row r="471" spans="1:17">
      <c r="A471">
        <v>32</v>
      </c>
      <c r="B471" t="s">
        <v>138</v>
      </c>
      <c r="C471" t="s">
        <v>143</v>
      </c>
      <c r="D471" t="s">
        <v>32</v>
      </c>
      <c r="E471" s="6">
        <v>45374</v>
      </c>
      <c r="F471" t="s">
        <v>615</v>
      </c>
      <c r="G471" t="s">
        <v>1413</v>
      </c>
      <c r="H471" t="s">
        <v>42</v>
      </c>
      <c r="I471" s="4">
        <v>1567.045000709292</v>
      </c>
      <c r="J471">
        <v>339</v>
      </c>
      <c r="K471" t="s">
        <v>36</v>
      </c>
      <c r="L471" s="6">
        <v>45403</v>
      </c>
      <c r="M471" t="s">
        <v>53</v>
      </c>
      <c r="N471" t="s">
        <v>1747</v>
      </c>
      <c r="O471" t="s">
        <v>114</v>
      </c>
      <c r="P471">
        <v>29</v>
      </c>
      <c r="Q471" t="s">
        <v>45</v>
      </c>
    </row>
    <row r="472" spans="1:17">
      <c r="A472">
        <v>25</v>
      </c>
      <c r="B472" t="s">
        <v>138</v>
      </c>
      <c r="C472" t="s">
        <v>140</v>
      </c>
      <c r="D472" t="s">
        <v>32</v>
      </c>
      <c r="E472" s="6">
        <v>45368</v>
      </c>
      <c r="F472" t="s">
        <v>616</v>
      </c>
      <c r="G472" t="s">
        <v>1414</v>
      </c>
      <c r="H472" t="s">
        <v>41</v>
      </c>
      <c r="I472" s="4">
        <v>5956.195427595612</v>
      </c>
      <c r="J472">
        <v>357</v>
      </c>
      <c r="K472" t="s">
        <v>36</v>
      </c>
      <c r="L472" s="6">
        <v>45388</v>
      </c>
      <c r="M472" t="s">
        <v>54</v>
      </c>
      <c r="N472" t="s">
        <v>1746</v>
      </c>
      <c r="O472" t="s">
        <v>114</v>
      </c>
      <c r="P472">
        <v>20</v>
      </c>
      <c r="Q472" t="s">
        <v>45</v>
      </c>
    </row>
    <row r="473" spans="1:17">
      <c r="A473">
        <v>77</v>
      </c>
      <c r="B473" t="s">
        <v>137</v>
      </c>
      <c r="C473" t="s">
        <v>142</v>
      </c>
      <c r="D473" t="s">
        <v>29</v>
      </c>
      <c r="E473" s="6">
        <v>45373</v>
      </c>
      <c r="F473" t="s">
        <v>617</v>
      </c>
      <c r="G473" t="s">
        <v>1415</v>
      </c>
      <c r="H473" t="s">
        <v>40</v>
      </c>
      <c r="I473" s="4">
        <v>20943.56883813077</v>
      </c>
      <c r="J473">
        <v>466</v>
      </c>
      <c r="K473" t="s">
        <v>34</v>
      </c>
      <c r="L473" s="6">
        <v>45375</v>
      </c>
      <c r="M473" t="s">
        <v>54</v>
      </c>
      <c r="N473" t="s">
        <v>1748</v>
      </c>
      <c r="O473" t="s">
        <v>114</v>
      </c>
      <c r="P473">
        <v>2</v>
      </c>
      <c r="Q473" t="s">
        <v>48</v>
      </c>
    </row>
    <row r="474" spans="1:17">
      <c r="A474">
        <v>35</v>
      </c>
      <c r="B474" t="s">
        <v>138</v>
      </c>
      <c r="C474" t="s">
        <v>140</v>
      </c>
      <c r="D474" t="s">
        <v>28</v>
      </c>
      <c r="E474" s="6">
        <v>45371</v>
      </c>
      <c r="F474" t="s">
        <v>618</v>
      </c>
      <c r="G474" t="s">
        <v>1416</v>
      </c>
      <c r="H474" t="s">
        <v>40</v>
      </c>
      <c r="I474" s="4">
        <v>9975.492130258244</v>
      </c>
      <c r="J474">
        <v>484</v>
      </c>
      <c r="K474" t="s">
        <v>34</v>
      </c>
      <c r="L474" s="6">
        <v>45375</v>
      </c>
      <c r="M474" t="s">
        <v>52</v>
      </c>
      <c r="N474" t="s">
        <v>1748</v>
      </c>
      <c r="O474" t="s">
        <v>114</v>
      </c>
      <c r="P474">
        <v>4</v>
      </c>
      <c r="Q474" t="s">
        <v>45</v>
      </c>
    </row>
    <row r="475" spans="1:17">
      <c r="A475">
        <v>66</v>
      </c>
      <c r="B475" t="s">
        <v>138</v>
      </c>
      <c r="C475" t="s">
        <v>139</v>
      </c>
      <c r="D475" t="s">
        <v>31</v>
      </c>
      <c r="E475" s="6">
        <v>45363</v>
      </c>
      <c r="F475" t="s">
        <v>619</v>
      </c>
      <c r="G475" t="s">
        <v>1417</v>
      </c>
      <c r="H475" t="s">
        <v>42</v>
      </c>
      <c r="I475" s="4">
        <v>11396.78492665632</v>
      </c>
      <c r="J475">
        <v>492</v>
      </c>
      <c r="K475" t="s">
        <v>34</v>
      </c>
      <c r="L475" s="6">
        <v>45383</v>
      </c>
      <c r="M475" t="s">
        <v>50</v>
      </c>
      <c r="N475" t="s">
        <v>1748</v>
      </c>
      <c r="O475" t="s">
        <v>114</v>
      </c>
      <c r="P475">
        <v>20</v>
      </c>
      <c r="Q475" t="s">
        <v>48</v>
      </c>
    </row>
    <row r="476" spans="1:17">
      <c r="A476">
        <v>68</v>
      </c>
      <c r="B476" t="s">
        <v>137</v>
      </c>
      <c r="C476" t="s">
        <v>143</v>
      </c>
      <c r="D476" t="s">
        <v>31</v>
      </c>
      <c r="E476" s="6">
        <v>45381</v>
      </c>
      <c r="F476" t="s">
        <v>620</v>
      </c>
      <c r="G476" t="s">
        <v>1418</v>
      </c>
      <c r="H476" t="s">
        <v>40</v>
      </c>
      <c r="I476" s="4">
        <v>25990.20013396812</v>
      </c>
      <c r="J476">
        <v>426</v>
      </c>
      <c r="K476" t="s">
        <v>36</v>
      </c>
      <c r="L476" s="6">
        <v>45404</v>
      </c>
      <c r="M476" t="s">
        <v>53</v>
      </c>
      <c r="N476" t="s">
        <v>1747</v>
      </c>
      <c r="O476" t="s">
        <v>114</v>
      </c>
      <c r="P476">
        <v>23</v>
      </c>
      <c r="Q476" t="s">
        <v>48</v>
      </c>
    </row>
    <row r="477" spans="1:17">
      <c r="A477">
        <v>18</v>
      </c>
      <c r="B477" t="s">
        <v>138</v>
      </c>
      <c r="C477" t="s">
        <v>140</v>
      </c>
      <c r="D477" t="s">
        <v>31</v>
      </c>
      <c r="E477" s="6">
        <v>45379</v>
      </c>
      <c r="F477" t="s">
        <v>621</v>
      </c>
      <c r="G477" t="s">
        <v>1419</v>
      </c>
      <c r="H477" t="s">
        <v>41</v>
      </c>
      <c r="I477" s="4">
        <v>8631.380527039444</v>
      </c>
      <c r="J477">
        <v>228</v>
      </c>
      <c r="K477" t="s">
        <v>34</v>
      </c>
      <c r="L477" s="6">
        <v>45390</v>
      </c>
      <c r="M477" t="s">
        <v>50</v>
      </c>
      <c r="N477" t="s">
        <v>1746</v>
      </c>
      <c r="O477" t="s">
        <v>114</v>
      </c>
      <c r="P477">
        <v>11</v>
      </c>
      <c r="Q477" t="s">
        <v>44</v>
      </c>
    </row>
    <row r="478" spans="1:17">
      <c r="A478">
        <v>52</v>
      </c>
      <c r="B478" t="s">
        <v>137</v>
      </c>
      <c r="C478" t="s">
        <v>143</v>
      </c>
      <c r="D478" t="s">
        <v>28</v>
      </c>
      <c r="E478" s="6">
        <v>45376</v>
      </c>
      <c r="F478" t="s">
        <v>622</v>
      </c>
      <c r="G478" t="s">
        <v>1420</v>
      </c>
      <c r="H478" t="s">
        <v>41</v>
      </c>
      <c r="I478" s="4">
        <v>25116.00709181168</v>
      </c>
      <c r="J478">
        <v>296</v>
      </c>
      <c r="K478" t="s">
        <v>35</v>
      </c>
      <c r="L478" s="6">
        <v>45391</v>
      </c>
      <c r="M478" t="s">
        <v>52</v>
      </c>
      <c r="N478" t="s">
        <v>1746</v>
      </c>
      <c r="O478" t="s">
        <v>114</v>
      </c>
      <c r="P478">
        <v>15</v>
      </c>
      <c r="Q478" t="s">
        <v>47</v>
      </c>
    </row>
    <row r="479" spans="1:17">
      <c r="A479">
        <v>35</v>
      </c>
      <c r="B479" t="s">
        <v>137</v>
      </c>
      <c r="C479" t="s">
        <v>141</v>
      </c>
      <c r="D479" t="s">
        <v>29</v>
      </c>
      <c r="E479" s="6">
        <v>45353</v>
      </c>
      <c r="F479" t="s">
        <v>623</v>
      </c>
      <c r="G479" t="s">
        <v>1421</v>
      </c>
      <c r="H479" t="s">
        <v>42</v>
      </c>
      <c r="I479" s="4">
        <v>9619.709788831704</v>
      </c>
      <c r="J479">
        <v>102</v>
      </c>
      <c r="K479" t="s">
        <v>34</v>
      </c>
      <c r="L479" s="6">
        <v>45364</v>
      </c>
      <c r="M479" t="s">
        <v>50</v>
      </c>
      <c r="N479" t="s">
        <v>1746</v>
      </c>
      <c r="O479" t="s">
        <v>114</v>
      </c>
      <c r="P479">
        <v>11</v>
      </c>
      <c r="Q479" t="s">
        <v>45</v>
      </c>
    </row>
    <row r="480" spans="1:17">
      <c r="A480">
        <v>59</v>
      </c>
      <c r="B480" t="s">
        <v>138</v>
      </c>
      <c r="C480" t="s">
        <v>143</v>
      </c>
      <c r="D480" t="s">
        <v>29</v>
      </c>
      <c r="E480" s="6">
        <v>45380</v>
      </c>
      <c r="F480" t="s">
        <v>624</v>
      </c>
      <c r="G480" t="s">
        <v>1422</v>
      </c>
      <c r="H480" t="s">
        <v>40</v>
      </c>
      <c r="I480" s="4">
        <v>16552.8971449404</v>
      </c>
      <c r="J480">
        <v>233</v>
      </c>
      <c r="K480" t="s">
        <v>34</v>
      </c>
      <c r="L480" s="6">
        <v>45402</v>
      </c>
      <c r="M480" t="s">
        <v>51</v>
      </c>
      <c r="N480" t="s">
        <v>1748</v>
      </c>
      <c r="O480" t="s">
        <v>114</v>
      </c>
      <c r="P480">
        <v>22</v>
      </c>
      <c r="Q480" t="s">
        <v>47</v>
      </c>
    </row>
    <row r="481" spans="1:17">
      <c r="A481">
        <v>76</v>
      </c>
      <c r="B481" t="s">
        <v>137</v>
      </c>
      <c r="C481" t="s">
        <v>140</v>
      </c>
      <c r="D481" t="s">
        <v>31</v>
      </c>
      <c r="E481" s="6">
        <v>45382</v>
      </c>
      <c r="F481" t="s">
        <v>625</v>
      </c>
      <c r="G481" t="s">
        <v>1423</v>
      </c>
      <c r="H481" t="s">
        <v>40</v>
      </c>
      <c r="I481" s="4">
        <v>30412.54196221245</v>
      </c>
      <c r="J481">
        <v>498</v>
      </c>
      <c r="K481" t="s">
        <v>35</v>
      </c>
      <c r="L481" s="6">
        <v>45404</v>
      </c>
      <c r="M481" t="s">
        <v>54</v>
      </c>
      <c r="N481" t="s">
        <v>1747</v>
      </c>
      <c r="O481" t="s">
        <v>114</v>
      </c>
      <c r="P481">
        <v>22</v>
      </c>
      <c r="Q481" t="s">
        <v>48</v>
      </c>
    </row>
    <row r="482" spans="1:17">
      <c r="A482">
        <v>20</v>
      </c>
      <c r="B482" t="s">
        <v>137</v>
      </c>
      <c r="C482" t="s">
        <v>142</v>
      </c>
      <c r="D482" t="s">
        <v>31</v>
      </c>
      <c r="E482" s="6">
        <v>45377</v>
      </c>
      <c r="F482" t="s">
        <v>626</v>
      </c>
      <c r="G482" t="s">
        <v>1424</v>
      </c>
      <c r="H482" t="s">
        <v>42</v>
      </c>
      <c r="I482" s="4">
        <v>39381.12381092666</v>
      </c>
      <c r="J482">
        <v>208</v>
      </c>
      <c r="K482" t="s">
        <v>34</v>
      </c>
      <c r="L482" s="6">
        <v>45404</v>
      </c>
      <c r="M482" t="s">
        <v>50</v>
      </c>
      <c r="N482" t="s">
        <v>1747</v>
      </c>
      <c r="O482" t="s">
        <v>114</v>
      </c>
      <c r="P482">
        <v>27</v>
      </c>
      <c r="Q482" t="s">
        <v>45</v>
      </c>
    </row>
    <row r="483" spans="1:17">
      <c r="A483">
        <v>54</v>
      </c>
      <c r="B483" t="s">
        <v>138</v>
      </c>
      <c r="C483" t="s">
        <v>141</v>
      </c>
      <c r="D483" t="s">
        <v>30</v>
      </c>
      <c r="E483" s="6">
        <v>45364</v>
      </c>
      <c r="F483" t="s">
        <v>627</v>
      </c>
      <c r="G483" t="s">
        <v>1425</v>
      </c>
      <c r="H483" t="s">
        <v>38</v>
      </c>
      <c r="I483" s="4">
        <v>21863.10168322982</v>
      </c>
      <c r="J483">
        <v>192</v>
      </c>
      <c r="K483" t="s">
        <v>35</v>
      </c>
      <c r="L483" s="6">
        <v>45379</v>
      </c>
      <c r="M483" t="s">
        <v>50</v>
      </c>
      <c r="N483" t="s">
        <v>1747</v>
      </c>
      <c r="O483" t="s">
        <v>114</v>
      </c>
      <c r="P483">
        <v>15</v>
      </c>
      <c r="Q483" t="s">
        <v>47</v>
      </c>
    </row>
    <row r="484" spans="1:17">
      <c r="A484">
        <v>82</v>
      </c>
      <c r="B484" t="s">
        <v>137</v>
      </c>
      <c r="C484" t="s">
        <v>140</v>
      </c>
      <c r="D484" t="s">
        <v>27</v>
      </c>
      <c r="E484" s="6">
        <v>45354</v>
      </c>
      <c r="F484" t="s">
        <v>628</v>
      </c>
      <c r="G484" t="s">
        <v>1426</v>
      </c>
      <c r="H484" t="s">
        <v>42</v>
      </c>
      <c r="I484" s="4">
        <v>15913.8623639722</v>
      </c>
      <c r="J484">
        <v>394</v>
      </c>
      <c r="K484" t="s">
        <v>36</v>
      </c>
      <c r="L484" s="6">
        <v>45380</v>
      </c>
      <c r="M484" t="s">
        <v>50</v>
      </c>
      <c r="N484" t="s">
        <v>1747</v>
      </c>
      <c r="O484" t="s">
        <v>114</v>
      </c>
      <c r="P484">
        <v>26</v>
      </c>
      <c r="Q484" t="s">
        <v>48</v>
      </c>
    </row>
    <row r="485" spans="1:17">
      <c r="A485">
        <v>82</v>
      </c>
      <c r="B485" t="s">
        <v>138</v>
      </c>
      <c r="C485" t="s">
        <v>145</v>
      </c>
      <c r="D485" t="s">
        <v>32</v>
      </c>
      <c r="E485" s="6">
        <v>45365</v>
      </c>
      <c r="F485" t="s">
        <v>629</v>
      </c>
      <c r="G485" t="s">
        <v>1427</v>
      </c>
      <c r="H485" t="s">
        <v>39</v>
      </c>
      <c r="I485" s="4">
        <v>2515.878993019369</v>
      </c>
      <c r="J485">
        <v>342</v>
      </c>
      <c r="K485" t="s">
        <v>36</v>
      </c>
      <c r="L485" s="6">
        <v>45384</v>
      </c>
      <c r="M485" t="s">
        <v>50</v>
      </c>
      <c r="N485" t="s">
        <v>1746</v>
      </c>
      <c r="O485" t="s">
        <v>114</v>
      </c>
      <c r="P485">
        <v>19</v>
      </c>
      <c r="Q485" t="s">
        <v>48</v>
      </c>
    </row>
    <row r="486" spans="1:17">
      <c r="A486">
        <v>72</v>
      </c>
      <c r="B486" t="s">
        <v>138</v>
      </c>
      <c r="C486" t="s">
        <v>140</v>
      </c>
      <c r="D486" t="s">
        <v>27</v>
      </c>
      <c r="E486" s="6">
        <v>45369</v>
      </c>
      <c r="F486" t="s">
        <v>630</v>
      </c>
      <c r="G486" t="s">
        <v>1428</v>
      </c>
      <c r="H486" t="s">
        <v>41</v>
      </c>
      <c r="I486" s="4">
        <v>16357.95748056483</v>
      </c>
      <c r="J486">
        <v>245</v>
      </c>
      <c r="K486" t="s">
        <v>35</v>
      </c>
      <c r="L486" s="6">
        <v>45388</v>
      </c>
      <c r="M486" t="s">
        <v>52</v>
      </c>
      <c r="N486" t="s">
        <v>1746</v>
      </c>
      <c r="O486" t="s">
        <v>114</v>
      </c>
      <c r="P486">
        <v>19</v>
      </c>
      <c r="Q486" t="s">
        <v>48</v>
      </c>
    </row>
    <row r="487" spans="1:17">
      <c r="A487">
        <v>80</v>
      </c>
      <c r="B487" t="s">
        <v>137</v>
      </c>
      <c r="C487" t="s">
        <v>145</v>
      </c>
      <c r="D487" t="s">
        <v>29</v>
      </c>
      <c r="E487" s="6">
        <v>45357</v>
      </c>
      <c r="F487" t="s">
        <v>631</v>
      </c>
      <c r="G487" t="s">
        <v>1429</v>
      </c>
      <c r="H487" t="s">
        <v>40</v>
      </c>
      <c r="I487" s="4">
        <v>24951.39808453645</v>
      </c>
      <c r="J487">
        <v>263</v>
      </c>
      <c r="K487" t="s">
        <v>34</v>
      </c>
      <c r="L487" s="6">
        <v>45365</v>
      </c>
      <c r="M487" t="s">
        <v>53</v>
      </c>
      <c r="N487" t="s">
        <v>1746</v>
      </c>
      <c r="O487" t="s">
        <v>114</v>
      </c>
      <c r="P487">
        <v>8</v>
      </c>
      <c r="Q487" t="s">
        <v>48</v>
      </c>
    </row>
    <row r="488" spans="1:17">
      <c r="A488">
        <v>39</v>
      </c>
      <c r="B488" t="s">
        <v>137</v>
      </c>
      <c r="C488" t="s">
        <v>139</v>
      </c>
      <c r="D488" t="s">
        <v>28</v>
      </c>
      <c r="E488" s="6">
        <v>45352</v>
      </c>
      <c r="F488" t="s">
        <v>632</v>
      </c>
      <c r="G488" t="s">
        <v>1430</v>
      </c>
      <c r="H488" t="s">
        <v>39</v>
      </c>
      <c r="I488" s="4">
        <v>42333.53099091731</v>
      </c>
      <c r="J488">
        <v>406</v>
      </c>
      <c r="K488" t="s">
        <v>35</v>
      </c>
      <c r="L488" s="6">
        <v>45381</v>
      </c>
      <c r="M488" t="s">
        <v>51</v>
      </c>
      <c r="N488" t="s">
        <v>1746</v>
      </c>
      <c r="O488" t="s">
        <v>114</v>
      </c>
      <c r="P488">
        <v>29</v>
      </c>
      <c r="Q488" t="s">
        <v>46</v>
      </c>
    </row>
    <row r="489" spans="1:17">
      <c r="A489">
        <v>41</v>
      </c>
      <c r="B489" t="s">
        <v>138</v>
      </c>
      <c r="C489" t="s">
        <v>144</v>
      </c>
      <c r="D489" t="s">
        <v>30</v>
      </c>
      <c r="E489" s="6">
        <v>45365</v>
      </c>
      <c r="F489" t="s">
        <v>633</v>
      </c>
      <c r="G489" t="s">
        <v>1431</v>
      </c>
      <c r="H489" t="s">
        <v>40</v>
      </c>
      <c r="I489" s="4">
        <v>29677.78484642952</v>
      </c>
      <c r="J489">
        <v>326</v>
      </c>
      <c r="K489" t="s">
        <v>35</v>
      </c>
      <c r="L489" s="6">
        <v>45382</v>
      </c>
      <c r="M489" t="s">
        <v>54</v>
      </c>
      <c r="N489" t="s">
        <v>1747</v>
      </c>
      <c r="O489" t="s">
        <v>114</v>
      </c>
      <c r="P489">
        <v>17</v>
      </c>
      <c r="Q489" t="s">
        <v>46</v>
      </c>
    </row>
    <row r="490" spans="1:17">
      <c r="A490">
        <v>24</v>
      </c>
      <c r="B490" t="s">
        <v>137</v>
      </c>
      <c r="C490" t="s">
        <v>139</v>
      </c>
      <c r="D490" t="s">
        <v>29</v>
      </c>
      <c r="E490" s="6">
        <v>45374</v>
      </c>
      <c r="F490" t="s">
        <v>634</v>
      </c>
      <c r="G490" t="s">
        <v>1432</v>
      </c>
      <c r="H490" t="s">
        <v>41</v>
      </c>
      <c r="I490" s="4">
        <v>32063.64760580563</v>
      </c>
      <c r="J490">
        <v>177</v>
      </c>
      <c r="K490" t="s">
        <v>34</v>
      </c>
      <c r="L490" s="6">
        <v>45400</v>
      </c>
      <c r="M490" t="s">
        <v>52</v>
      </c>
      <c r="N490" t="s">
        <v>1748</v>
      </c>
      <c r="O490" t="s">
        <v>114</v>
      </c>
      <c r="P490">
        <v>26</v>
      </c>
      <c r="Q490" t="s">
        <v>45</v>
      </c>
    </row>
    <row r="491" spans="1:17">
      <c r="A491">
        <v>34</v>
      </c>
      <c r="B491" t="s">
        <v>138</v>
      </c>
      <c r="C491" t="s">
        <v>142</v>
      </c>
      <c r="D491" t="s">
        <v>32</v>
      </c>
      <c r="E491" s="6">
        <v>45374</v>
      </c>
      <c r="F491" t="s">
        <v>635</v>
      </c>
      <c r="G491" t="s">
        <v>1433</v>
      </c>
      <c r="H491" t="s">
        <v>38</v>
      </c>
      <c r="I491" s="4">
        <v>1710.692088710397</v>
      </c>
      <c r="J491">
        <v>390</v>
      </c>
      <c r="K491" t="s">
        <v>36</v>
      </c>
      <c r="L491" s="6">
        <v>45399</v>
      </c>
      <c r="M491" t="s">
        <v>52</v>
      </c>
      <c r="N491" t="s">
        <v>1747</v>
      </c>
      <c r="O491" t="s">
        <v>114</v>
      </c>
      <c r="P491">
        <v>25</v>
      </c>
      <c r="Q491" t="s">
        <v>45</v>
      </c>
    </row>
    <row r="492" spans="1:17">
      <c r="A492">
        <v>55</v>
      </c>
      <c r="B492" t="s">
        <v>138</v>
      </c>
      <c r="C492" t="s">
        <v>146</v>
      </c>
      <c r="D492" t="s">
        <v>27</v>
      </c>
      <c r="E492" s="6">
        <v>45360</v>
      </c>
      <c r="F492" t="s">
        <v>636</v>
      </c>
      <c r="G492" t="s">
        <v>1434</v>
      </c>
      <c r="H492" t="s">
        <v>40</v>
      </c>
      <c r="I492" s="4">
        <v>42894.50420712176</v>
      </c>
      <c r="J492">
        <v>256</v>
      </c>
      <c r="K492" t="s">
        <v>35</v>
      </c>
      <c r="L492" s="6">
        <v>45386</v>
      </c>
      <c r="M492" t="s">
        <v>53</v>
      </c>
      <c r="N492" t="s">
        <v>1747</v>
      </c>
      <c r="O492" t="s">
        <v>114</v>
      </c>
      <c r="P492">
        <v>26</v>
      </c>
      <c r="Q492" t="s">
        <v>47</v>
      </c>
    </row>
    <row r="493" spans="1:17">
      <c r="A493">
        <v>65</v>
      </c>
      <c r="B493" t="s">
        <v>138</v>
      </c>
      <c r="C493" t="s">
        <v>145</v>
      </c>
      <c r="D493" t="s">
        <v>29</v>
      </c>
      <c r="E493" s="6">
        <v>45382</v>
      </c>
      <c r="F493" t="s">
        <v>637</v>
      </c>
      <c r="G493" t="s">
        <v>1435</v>
      </c>
      <c r="H493" t="s">
        <v>39</v>
      </c>
      <c r="I493" s="4">
        <v>29727.7672761223</v>
      </c>
      <c r="J493">
        <v>498</v>
      </c>
      <c r="K493" t="s">
        <v>35</v>
      </c>
      <c r="L493" s="6">
        <v>45384</v>
      </c>
      <c r="M493" t="s">
        <v>54</v>
      </c>
      <c r="N493" t="s">
        <v>1748</v>
      </c>
      <c r="O493" t="s">
        <v>114</v>
      </c>
      <c r="P493">
        <v>2</v>
      </c>
      <c r="Q493" t="s">
        <v>47</v>
      </c>
    </row>
    <row r="494" spans="1:17">
      <c r="A494">
        <v>46</v>
      </c>
      <c r="B494" t="s">
        <v>138</v>
      </c>
      <c r="C494" t="s">
        <v>145</v>
      </c>
      <c r="D494" t="s">
        <v>28</v>
      </c>
      <c r="E494" s="6">
        <v>45380</v>
      </c>
      <c r="F494" t="s">
        <v>638</v>
      </c>
      <c r="G494" t="s">
        <v>1436</v>
      </c>
      <c r="H494" t="s">
        <v>38</v>
      </c>
      <c r="I494" s="4">
        <v>3404.414948635154</v>
      </c>
      <c r="J494">
        <v>130</v>
      </c>
      <c r="K494" t="s">
        <v>35</v>
      </c>
      <c r="L494" s="6">
        <v>45381</v>
      </c>
      <c r="M494" t="s">
        <v>52</v>
      </c>
      <c r="N494" t="s">
        <v>1746</v>
      </c>
      <c r="O494" t="s">
        <v>114</v>
      </c>
      <c r="P494">
        <v>1</v>
      </c>
      <c r="Q494" t="s">
        <v>46</v>
      </c>
    </row>
    <row r="495" spans="1:17">
      <c r="A495">
        <v>30</v>
      </c>
      <c r="B495" t="s">
        <v>137</v>
      </c>
      <c r="C495" t="s">
        <v>140</v>
      </c>
      <c r="D495" t="s">
        <v>29</v>
      </c>
      <c r="E495" s="6">
        <v>45360</v>
      </c>
      <c r="F495" t="s">
        <v>639</v>
      </c>
      <c r="G495" t="s">
        <v>1437</v>
      </c>
      <c r="H495" t="s">
        <v>39</v>
      </c>
      <c r="I495" s="4">
        <v>39818.99840938186</v>
      </c>
      <c r="J495">
        <v>300</v>
      </c>
      <c r="K495" t="s">
        <v>34</v>
      </c>
      <c r="L495" s="6">
        <v>45387</v>
      </c>
      <c r="M495" t="s">
        <v>51</v>
      </c>
      <c r="N495" t="s">
        <v>1747</v>
      </c>
      <c r="O495" t="s">
        <v>114</v>
      </c>
      <c r="P495">
        <v>27</v>
      </c>
      <c r="Q495" t="s">
        <v>45</v>
      </c>
    </row>
    <row r="496" spans="1:17">
      <c r="A496">
        <v>60</v>
      </c>
      <c r="B496" t="s">
        <v>138</v>
      </c>
      <c r="C496" t="s">
        <v>146</v>
      </c>
      <c r="D496" t="s">
        <v>32</v>
      </c>
      <c r="E496" s="6">
        <v>45377</v>
      </c>
      <c r="F496" t="s">
        <v>640</v>
      </c>
      <c r="G496" t="s">
        <v>1438</v>
      </c>
      <c r="H496" t="s">
        <v>38</v>
      </c>
      <c r="I496" s="4">
        <v>24103.85569439684</v>
      </c>
      <c r="J496">
        <v>361</v>
      </c>
      <c r="K496" t="s">
        <v>34</v>
      </c>
      <c r="L496" s="6">
        <v>45394</v>
      </c>
      <c r="M496" t="s">
        <v>53</v>
      </c>
      <c r="N496" t="s">
        <v>1747</v>
      </c>
      <c r="O496" t="s">
        <v>114</v>
      </c>
      <c r="P496">
        <v>17</v>
      </c>
      <c r="Q496" t="s">
        <v>47</v>
      </c>
    </row>
    <row r="497" spans="1:17">
      <c r="A497">
        <v>46</v>
      </c>
      <c r="B497" t="s">
        <v>138</v>
      </c>
      <c r="C497" t="s">
        <v>139</v>
      </c>
      <c r="D497" t="s">
        <v>29</v>
      </c>
      <c r="E497" s="6">
        <v>45357</v>
      </c>
      <c r="F497" t="s">
        <v>245</v>
      </c>
      <c r="G497" t="s">
        <v>1439</v>
      </c>
      <c r="H497" t="s">
        <v>38</v>
      </c>
      <c r="I497" s="4">
        <v>4740.551301550349</v>
      </c>
      <c r="J497">
        <v>299</v>
      </c>
      <c r="K497" t="s">
        <v>35</v>
      </c>
      <c r="L497" s="6">
        <v>45375</v>
      </c>
      <c r="M497" t="s">
        <v>50</v>
      </c>
      <c r="N497" t="s">
        <v>1748</v>
      </c>
      <c r="O497" t="s">
        <v>114</v>
      </c>
      <c r="P497">
        <v>18</v>
      </c>
      <c r="Q497" t="s">
        <v>46</v>
      </c>
    </row>
    <row r="498" spans="1:17">
      <c r="A498">
        <v>51</v>
      </c>
      <c r="B498" t="s">
        <v>138</v>
      </c>
      <c r="C498" t="s">
        <v>142</v>
      </c>
      <c r="D498" t="s">
        <v>29</v>
      </c>
      <c r="E498" s="6">
        <v>45378</v>
      </c>
      <c r="F498" t="s">
        <v>641</v>
      </c>
      <c r="G498" t="s">
        <v>1440</v>
      </c>
      <c r="H498" t="s">
        <v>40</v>
      </c>
      <c r="I498" s="4">
        <v>45227.75316137531</v>
      </c>
      <c r="J498">
        <v>106</v>
      </c>
      <c r="K498" t="s">
        <v>34</v>
      </c>
      <c r="L498" s="6">
        <v>45394</v>
      </c>
      <c r="M498" t="s">
        <v>54</v>
      </c>
      <c r="N498" t="s">
        <v>1746</v>
      </c>
      <c r="O498" t="s">
        <v>114</v>
      </c>
      <c r="P498">
        <v>16</v>
      </c>
      <c r="Q498" t="s">
        <v>47</v>
      </c>
    </row>
    <row r="499" spans="1:17">
      <c r="A499">
        <v>73</v>
      </c>
      <c r="B499" t="s">
        <v>138</v>
      </c>
      <c r="C499" t="s">
        <v>145</v>
      </c>
      <c r="D499" t="s">
        <v>29</v>
      </c>
      <c r="E499" s="6">
        <v>45373</v>
      </c>
      <c r="F499" t="s">
        <v>642</v>
      </c>
      <c r="G499" t="s">
        <v>1441</v>
      </c>
      <c r="H499" t="s">
        <v>39</v>
      </c>
      <c r="I499" s="4">
        <v>34449.09433614046</v>
      </c>
      <c r="J499">
        <v>413</v>
      </c>
      <c r="K499" t="s">
        <v>34</v>
      </c>
      <c r="L499" s="6">
        <v>45398</v>
      </c>
      <c r="M499" t="s">
        <v>53</v>
      </c>
      <c r="N499" t="s">
        <v>1747</v>
      </c>
      <c r="O499" t="s">
        <v>114</v>
      </c>
      <c r="P499">
        <v>25</v>
      </c>
      <c r="Q499" t="s">
        <v>48</v>
      </c>
    </row>
    <row r="500" spans="1:17">
      <c r="A500">
        <v>28</v>
      </c>
      <c r="B500" t="s">
        <v>138</v>
      </c>
      <c r="C500" t="s">
        <v>143</v>
      </c>
      <c r="D500" t="s">
        <v>31</v>
      </c>
      <c r="E500" s="6">
        <v>45379</v>
      </c>
      <c r="F500" t="s">
        <v>643</v>
      </c>
      <c r="G500" t="s">
        <v>1442</v>
      </c>
      <c r="H500" t="s">
        <v>40</v>
      </c>
      <c r="I500" s="4">
        <v>33516.33104386134</v>
      </c>
      <c r="J500">
        <v>304</v>
      </c>
      <c r="K500" t="s">
        <v>36</v>
      </c>
      <c r="L500" s="6">
        <v>45401</v>
      </c>
      <c r="M500" t="s">
        <v>53</v>
      </c>
      <c r="N500" t="s">
        <v>1746</v>
      </c>
      <c r="O500" t="s">
        <v>114</v>
      </c>
      <c r="P500">
        <v>22</v>
      </c>
      <c r="Q500" t="s">
        <v>45</v>
      </c>
    </row>
    <row r="501" spans="1:17">
      <c r="A501">
        <v>20</v>
      </c>
      <c r="B501" t="s">
        <v>137</v>
      </c>
      <c r="C501" t="s">
        <v>146</v>
      </c>
      <c r="D501" t="s">
        <v>28</v>
      </c>
      <c r="E501" s="6">
        <v>45353</v>
      </c>
      <c r="F501" t="s">
        <v>644</v>
      </c>
      <c r="G501" t="s">
        <v>1443</v>
      </c>
      <c r="H501" t="s">
        <v>38</v>
      </c>
      <c r="I501" s="4">
        <v>7870.573433419068</v>
      </c>
      <c r="J501">
        <v>260</v>
      </c>
      <c r="K501" t="s">
        <v>34</v>
      </c>
      <c r="L501" s="6">
        <v>45361</v>
      </c>
      <c r="M501" t="s">
        <v>52</v>
      </c>
      <c r="N501" t="s">
        <v>1746</v>
      </c>
      <c r="O501" t="s">
        <v>114</v>
      </c>
      <c r="P501">
        <v>8</v>
      </c>
      <c r="Q501" t="s">
        <v>45</v>
      </c>
    </row>
    <row r="502" spans="1:17">
      <c r="A502">
        <v>65</v>
      </c>
      <c r="B502" t="s">
        <v>138</v>
      </c>
      <c r="C502" t="s">
        <v>141</v>
      </c>
      <c r="D502" t="s">
        <v>32</v>
      </c>
      <c r="E502" s="6">
        <v>45352</v>
      </c>
      <c r="F502" t="s">
        <v>645</v>
      </c>
      <c r="G502" t="s">
        <v>1444</v>
      </c>
      <c r="H502" t="s">
        <v>40</v>
      </c>
      <c r="I502" s="4">
        <v>11639.32173571045</v>
      </c>
      <c r="J502">
        <v>296</v>
      </c>
      <c r="K502" t="s">
        <v>34</v>
      </c>
      <c r="L502" s="6">
        <v>45364</v>
      </c>
      <c r="M502" t="s">
        <v>52</v>
      </c>
      <c r="N502" t="s">
        <v>1746</v>
      </c>
      <c r="O502" t="s">
        <v>114</v>
      </c>
      <c r="P502">
        <v>12</v>
      </c>
      <c r="Q502" t="s">
        <v>47</v>
      </c>
    </row>
    <row r="503" spans="1:17">
      <c r="A503">
        <v>41</v>
      </c>
      <c r="B503" t="s">
        <v>138</v>
      </c>
      <c r="C503" t="s">
        <v>140</v>
      </c>
      <c r="D503" t="s">
        <v>31</v>
      </c>
      <c r="E503" s="6">
        <v>45378</v>
      </c>
      <c r="F503" t="s">
        <v>646</v>
      </c>
      <c r="G503" t="s">
        <v>1445</v>
      </c>
      <c r="H503" t="s">
        <v>38</v>
      </c>
      <c r="I503" s="4">
        <v>36448.82270113288</v>
      </c>
      <c r="J503">
        <v>112</v>
      </c>
      <c r="K503" t="s">
        <v>34</v>
      </c>
      <c r="L503" s="6">
        <v>45397</v>
      </c>
      <c r="M503" t="s">
        <v>51</v>
      </c>
      <c r="N503" t="s">
        <v>1747</v>
      </c>
      <c r="O503" t="s">
        <v>114</v>
      </c>
      <c r="P503">
        <v>19</v>
      </c>
      <c r="Q503" t="s">
        <v>46</v>
      </c>
    </row>
    <row r="504" spans="1:17">
      <c r="A504">
        <v>22</v>
      </c>
      <c r="B504" t="s">
        <v>137</v>
      </c>
      <c r="C504" t="s">
        <v>146</v>
      </c>
      <c r="D504" t="s">
        <v>28</v>
      </c>
      <c r="E504" s="6">
        <v>45381</v>
      </c>
      <c r="F504" t="s">
        <v>647</v>
      </c>
      <c r="G504" t="s">
        <v>1446</v>
      </c>
      <c r="H504" t="s">
        <v>38</v>
      </c>
      <c r="I504" s="4">
        <v>46452.75182361892</v>
      </c>
      <c r="J504">
        <v>196</v>
      </c>
      <c r="K504" t="s">
        <v>36</v>
      </c>
      <c r="L504" s="6">
        <v>45383</v>
      </c>
      <c r="M504" t="s">
        <v>50</v>
      </c>
      <c r="N504" t="s">
        <v>1748</v>
      </c>
      <c r="O504" t="s">
        <v>114</v>
      </c>
      <c r="P504">
        <v>2</v>
      </c>
      <c r="Q504" t="s">
        <v>45</v>
      </c>
    </row>
    <row r="505" spans="1:17">
      <c r="A505">
        <v>70</v>
      </c>
      <c r="B505" t="s">
        <v>137</v>
      </c>
      <c r="C505" t="s">
        <v>145</v>
      </c>
      <c r="D505" t="s">
        <v>28</v>
      </c>
      <c r="E505" s="6">
        <v>45367</v>
      </c>
      <c r="F505" t="s">
        <v>648</v>
      </c>
      <c r="G505" t="s">
        <v>1447</v>
      </c>
      <c r="H505" t="s">
        <v>42</v>
      </c>
      <c r="I505" s="4">
        <v>38846.53258875423</v>
      </c>
      <c r="J505">
        <v>344</v>
      </c>
      <c r="K505" t="s">
        <v>34</v>
      </c>
      <c r="L505" s="6">
        <v>45375</v>
      </c>
      <c r="M505" t="s">
        <v>51</v>
      </c>
      <c r="N505" t="s">
        <v>1748</v>
      </c>
      <c r="O505" t="s">
        <v>114</v>
      </c>
      <c r="P505">
        <v>8</v>
      </c>
      <c r="Q505" t="s">
        <v>48</v>
      </c>
    </row>
    <row r="506" spans="1:17">
      <c r="A506">
        <v>67</v>
      </c>
      <c r="B506" t="s">
        <v>137</v>
      </c>
      <c r="C506" t="s">
        <v>141</v>
      </c>
      <c r="D506" t="s">
        <v>27</v>
      </c>
      <c r="E506" s="6">
        <v>45376</v>
      </c>
      <c r="F506" t="s">
        <v>649</v>
      </c>
      <c r="G506" t="s">
        <v>1448</v>
      </c>
      <c r="H506" t="s">
        <v>38</v>
      </c>
      <c r="I506" s="4">
        <v>30084.48199977673</v>
      </c>
      <c r="J506">
        <v>167</v>
      </c>
      <c r="K506" t="s">
        <v>34</v>
      </c>
      <c r="L506" s="6">
        <v>45393</v>
      </c>
      <c r="M506" t="s">
        <v>53</v>
      </c>
      <c r="N506" t="s">
        <v>1747</v>
      </c>
      <c r="O506" t="s">
        <v>114</v>
      </c>
      <c r="P506">
        <v>17</v>
      </c>
      <c r="Q506" t="s">
        <v>48</v>
      </c>
    </row>
    <row r="507" spans="1:17">
      <c r="A507">
        <v>37</v>
      </c>
      <c r="B507" t="s">
        <v>137</v>
      </c>
      <c r="C507" t="s">
        <v>140</v>
      </c>
      <c r="D507" t="s">
        <v>27</v>
      </c>
      <c r="E507" s="6">
        <v>45370</v>
      </c>
      <c r="F507" t="s">
        <v>650</v>
      </c>
      <c r="G507" t="s">
        <v>1449</v>
      </c>
      <c r="H507" t="s">
        <v>40</v>
      </c>
      <c r="I507" s="4">
        <v>21252.12294238971</v>
      </c>
      <c r="J507">
        <v>301</v>
      </c>
      <c r="K507" t="s">
        <v>35</v>
      </c>
      <c r="L507" s="6">
        <v>45375</v>
      </c>
      <c r="M507" t="s">
        <v>53</v>
      </c>
      <c r="N507" t="s">
        <v>1747</v>
      </c>
      <c r="O507" t="s">
        <v>114</v>
      </c>
      <c r="P507">
        <v>5</v>
      </c>
      <c r="Q507" t="s">
        <v>46</v>
      </c>
    </row>
    <row r="508" spans="1:17">
      <c r="A508">
        <v>46</v>
      </c>
      <c r="B508" t="s">
        <v>137</v>
      </c>
      <c r="C508" t="s">
        <v>146</v>
      </c>
      <c r="D508" t="s">
        <v>27</v>
      </c>
      <c r="E508" s="6">
        <v>45372</v>
      </c>
      <c r="F508" t="s">
        <v>651</v>
      </c>
      <c r="G508" t="s">
        <v>1450</v>
      </c>
      <c r="H508" t="s">
        <v>40</v>
      </c>
      <c r="I508" s="4">
        <v>22458.03897083366</v>
      </c>
      <c r="J508">
        <v>270</v>
      </c>
      <c r="K508" t="s">
        <v>35</v>
      </c>
      <c r="L508" s="6">
        <v>45374</v>
      </c>
      <c r="M508" t="s">
        <v>50</v>
      </c>
      <c r="N508" t="s">
        <v>1747</v>
      </c>
      <c r="O508" t="s">
        <v>114</v>
      </c>
      <c r="P508">
        <v>2</v>
      </c>
      <c r="Q508" t="s">
        <v>46</v>
      </c>
    </row>
    <row r="509" spans="1:17">
      <c r="A509">
        <v>47</v>
      </c>
      <c r="B509" t="s">
        <v>138</v>
      </c>
      <c r="C509" t="s">
        <v>140</v>
      </c>
      <c r="D509" t="s">
        <v>27</v>
      </c>
      <c r="E509" s="6">
        <v>45375</v>
      </c>
      <c r="F509" t="s">
        <v>652</v>
      </c>
      <c r="G509" t="s">
        <v>1451</v>
      </c>
      <c r="H509" t="s">
        <v>41</v>
      </c>
      <c r="I509" s="4">
        <v>13344.73930732136</v>
      </c>
      <c r="J509">
        <v>390</v>
      </c>
      <c r="K509" t="s">
        <v>36</v>
      </c>
      <c r="L509" s="6">
        <v>45383</v>
      </c>
      <c r="M509" t="s">
        <v>54</v>
      </c>
      <c r="N509" t="s">
        <v>1748</v>
      </c>
      <c r="O509" t="s">
        <v>114</v>
      </c>
      <c r="P509">
        <v>8</v>
      </c>
      <c r="Q509" t="s">
        <v>46</v>
      </c>
    </row>
    <row r="510" spans="1:17">
      <c r="A510">
        <v>75</v>
      </c>
      <c r="B510" t="s">
        <v>137</v>
      </c>
      <c r="C510" t="s">
        <v>139</v>
      </c>
      <c r="D510" t="s">
        <v>28</v>
      </c>
      <c r="E510" s="6">
        <v>45364</v>
      </c>
      <c r="F510" t="s">
        <v>653</v>
      </c>
      <c r="G510" t="s">
        <v>1452</v>
      </c>
      <c r="H510" t="s">
        <v>38</v>
      </c>
      <c r="I510" s="4">
        <v>30368.79488995034</v>
      </c>
      <c r="J510">
        <v>186</v>
      </c>
      <c r="K510" t="s">
        <v>35</v>
      </c>
      <c r="L510" s="6">
        <v>45386</v>
      </c>
      <c r="M510" t="s">
        <v>50</v>
      </c>
      <c r="N510" t="s">
        <v>1746</v>
      </c>
      <c r="O510" t="s">
        <v>114</v>
      </c>
      <c r="P510">
        <v>22</v>
      </c>
      <c r="Q510" t="s">
        <v>48</v>
      </c>
    </row>
    <row r="511" spans="1:17">
      <c r="A511">
        <v>60</v>
      </c>
      <c r="B511" t="s">
        <v>138</v>
      </c>
      <c r="C511" t="s">
        <v>141</v>
      </c>
      <c r="D511" t="s">
        <v>30</v>
      </c>
      <c r="E511" s="6">
        <v>45360</v>
      </c>
      <c r="F511" t="s">
        <v>654</v>
      </c>
      <c r="G511" t="s">
        <v>1453</v>
      </c>
      <c r="H511" t="s">
        <v>42</v>
      </c>
      <c r="I511" s="4">
        <v>39816.92080855313</v>
      </c>
      <c r="J511">
        <v>468</v>
      </c>
      <c r="K511" t="s">
        <v>36</v>
      </c>
      <c r="L511" s="6">
        <v>45376</v>
      </c>
      <c r="M511" t="s">
        <v>53</v>
      </c>
      <c r="N511" t="s">
        <v>1747</v>
      </c>
      <c r="O511" t="s">
        <v>114</v>
      </c>
      <c r="P511">
        <v>16</v>
      </c>
      <c r="Q511" t="s">
        <v>47</v>
      </c>
    </row>
    <row r="512" spans="1:17">
      <c r="A512">
        <v>22</v>
      </c>
      <c r="B512" t="s">
        <v>138</v>
      </c>
      <c r="C512" t="s">
        <v>143</v>
      </c>
      <c r="D512" t="s">
        <v>30</v>
      </c>
      <c r="E512" s="6">
        <v>45367</v>
      </c>
      <c r="F512" t="s">
        <v>655</v>
      </c>
      <c r="G512" t="s">
        <v>1454</v>
      </c>
      <c r="H512" t="s">
        <v>41</v>
      </c>
      <c r="I512" s="4">
        <v>34049.28883784602</v>
      </c>
      <c r="J512">
        <v>412</v>
      </c>
      <c r="K512" t="s">
        <v>36</v>
      </c>
      <c r="L512" s="6">
        <v>45375</v>
      </c>
      <c r="M512" t="s">
        <v>53</v>
      </c>
      <c r="N512" t="s">
        <v>1747</v>
      </c>
      <c r="O512" t="s">
        <v>114</v>
      </c>
      <c r="P512">
        <v>8</v>
      </c>
      <c r="Q512" t="s">
        <v>45</v>
      </c>
    </row>
    <row r="513" spans="1:17">
      <c r="A513">
        <v>85</v>
      </c>
      <c r="B513" t="s">
        <v>138</v>
      </c>
      <c r="C513" t="s">
        <v>141</v>
      </c>
      <c r="D513" t="s">
        <v>32</v>
      </c>
      <c r="E513" s="6">
        <v>45365</v>
      </c>
      <c r="F513" t="s">
        <v>656</v>
      </c>
      <c r="G513" t="s">
        <v>1455</v>
      </c>
      <c r="H513" t="s">
        <v>38</v>
      </c>
      <c r="I513" s="4">
        <v>25105.45105907781</v>
      </c>
      <c r="J513">
        <v>281</v>
      </c>
      <c r="K513" t="s">
        <v>35</v>
      </c>
      <c r="L513" s="6">
        <v>45382</v>
      </c>
      <c r="M513" t="s">
        <v>50</v>
      </c>
      <c r="N513" t="s">
        <v>1747</v>
      </c>
      <c r="O513" t="s">
        <v>114</v>
      </c>
      <c r="P513">
        <v>17</v>
      </c>
      <c r="Q513" t="s">
        <v>48</v>
      </c>
    </row>
    <row r="514" spans="1:17">
      <c r="A514">
        <v>21</v>
      </c>
      <c r="B514" t="s">
        <v>137</v>
      </c>
      <c r="C514" t="s">
        <v>141</v>
      </c>
      <c r="D514" t="s">
        <v>27</v>
      </c>
      <c r="E514" s="6">
        <v>45372</v>
      </c>
      <c r="F514" t="s">
        <v>657</v>
      </c>
      <c r="G514" t="s">
        <v>1456</v>
      </c>
      <c r="H514" t="s">
        <v>40</v>
      </c>
      <c r="I514" s="4">
        <v>1602.329345783409</v>
      </c>
      <c r="J514">
        <v>136</v>
      </c>
      <c r="K514" t="s">
        <v>35</v>
      </c>
      <c r="L514" s="6">
        <v>45378</v>
      </c>
      <c r="M514" t="s">
        <v>50</v>
      </c>
      <c r="N514" t="s">
        <v>1746</v>
      </c>
      <c r="O514" t="s">
        <v>114</v>
      </c>
      <c r="P514">
        <v>6</v>
      </c>
      <c r="Q514" t="s">
        <v>45</v>
      </c>
    </row>
    <row r="515" spans="1:17">
      <c r="A515">
        <v>24</v>
      </c>
      <c r="B515" t="s">
        <v>138</v>
      </c>
      <c r="C515" t="s">
        <v>143</v>
      </c>
      <c r="D515" t="s">
        <v>32</v>
      </c>
      <c r="E515" s="6">
        <v>45378</v>
      </c>
      <c r="F515" t="s">
        <v>658</v>
      </c>
      <c r="G515" t="s">
        <v>1457</v>
      </c>
      <c r="H515" t="s">
        <v>39</v>
      </c>
      <c r="I515" s="4">
        <v>29500.39238585517</v>
      </c>
      <c r="J515">
        <v>326</v>
      </c>
      <c r="K515" t="s">
        <v>34</v>
      </c>
      <c r="L515" s="6">
        <v>45400</v>
      </c>
      <c r="M515" t="s">
        <v>53</v>
      </c>
      <c r="N515" t="s">
        <v>1747</v>
      </c>
      <c r="O515" t="s">
        <v>114</v>
      </c>
      <c r="P515">
        <v>22</v>
      </c>
      <c r="Q515" t="s">
        <v>45</v>
      </c>
    </row>
    <row r="516" spans="1:17">
      <c r="A516">
        <v>50</v>
      </c>
      <c r="B516" t="s">
        <v>137</v>
      </c>
      <c r="C516" t="s">
        <v>139</v>
      </c>
      <c r="D516" t="s">
        <v>31</v>
      </c>
      <c r="E516" s="6">
        <v>45382</v>
      </c>
      <c r="F516" t="s">
        <v>659</v>
      </c>
      <c r="G516" t="s">
        <v>1458</v>
      </c>
      <c r="H516" t="s">
        <v>42</v>
      </c>
      <c r="I516" s="4">
        <v>31332.05511790124</v>
      </c>
      <c r="J516">
        <v>333</v>
      </c>
      <c r="K516" t="s">
        <v>35</v>
      </c>
      <c r="L516" s="6">
        <v>45390</v>
      </c>
      <c r="M516" t="s">
        <v>51</v>
      </c>
      <c r="N516" t="s">
        <v>1748</v>
      </c>
      <c r="O516" t="s">
        <v>114</v>
      </c>
      <c r="P516">
        <v>8</v>
      </c>
      <c r="Q516" t="s">
        <v>46</v>
      </c>
    </row>
    <row r="517" spans="1:17">
      <c r="A517">
        <v>33</v>
      </c>
      <c r="B517" t="s">
        <v>138</v>
      </c>
      <c r="C517" t="s">
        <v>141</v>
      </c>
      <c r="D517" t="s">
        <v>27</v>
      </c>
      <c r="E517" s="6">
        <v>45368</v>
      </c>
      <c r="F517" t="s">
        <v>660</v>
      </c>
      <c r="G517" t="s">
        <v>1459</v>
      </c>
      <c r="H517" t="s">
        <v>41</v>
      </c>
      <c r="I517" s="4">
        <v>15392.07504450804</v>
      </c>
      <c r="J517">
        <v>367</v>
      </c>
      <c r="K517" t="s">
        <v>35</v>
      </c>
      <c r="L517" s="6">
        <v>45374</v>
      </c>
      <c r="M517" t="s">
        <v>53</v>
      </c>
      <c r="N517" t="s">
        <v>1748</v>
      </c>
      <c r="O517" t="s">
        <v>114</v>
      </c>
      <c r="P517">
        <v>6</v>
      </c>
      <c r="Q517" t="s">
        <v>45</v>
      </c>
    </row>
    <row r="518" spans="1:17">
      <c r="A518">
        <v>75</v>
      </c>
      <c r="B518" t="s">
        <v>138</v>
      </c>
      <c r="C518" t="s">
        <v>139</v>
      </c>
      <c r="D518" t="s">
        <v>30</v>
      </c>
      <c r="E518" s="6">
        <v>45354</v>
      </c>
      <c r="F518" t="s">
        <v>661</v>
      </c>
      <c r="G518" t="s">
        <v>1460</v>
      </c>
      <c r="H518" t="s">
        <v>41</v>
      </c>
      <c r="I518" s="4">
        <v>23880.26731618881</v>
      </c>
      <c r="J518">
        <v>371</v>
      </c>
      <c r="K518" t="s">
        <v>35</v>
      </c>
      <c r="L518" s="6">
        <v>45366</v>
      </c>
      <c r="M518" t="s">
        <v>51</v>
      </c>
      <c r="N518" t="s">
        <v>1747</v>
      </c>
      <c r="O518" t="s">
        <v>114</v>
      </c>
      <c r="P518">
        <v>12</v>
      </c>
      <c r="Q518" t="s">
        <v>48</v>
      </c>
    </row>
    <row r="519" spans="1:17">
      <c r="A519">
        <v>58</v>
      </c>
      <c r="B519" t="s">
        <v>138</v>
      </c>
      <c r="C519" t="s">
        <v>141</v>
      </c>
      <c r="D519" t="s">
        <v>28</v>
      </c>
      <c r="E519" s="6">
        <v>45376</v>
      </c>
      <c r="F519" t="s">
        <v>662</v>
      </c>
      <c r="G519" t="s">
        <v>1461</v>
      </c>
      <c r="H519" t="s">
        <v>40</v>
      </c>
      <c r="I519" s="4">
        <v>26942.34924029543</v>
      </c>
      <c r="J519">
        <v>279</v>
      </c>
      <c r="K519" t="s">
        <v>35</v>
      </c>
      <c r="L519" s="6">
        <v>45388</v>
      </c>
      <c r="M519" t="s">
        <v>54</v>
      </c>
      <c r="N519" t="s">
        <v>1748</v>
      </c>
      <c r="O519" t="s">
        <v>114</v>
      </c>
      <c r="P519">
        <v>12</v>
      </c>
      <c r="Q519" t="s">
        <v>47</v>
      </c>
    </row>
    <row r="520" spans="1:17">
      <c r="A520">
        <v>81</v>
      </c>
      <c r="B520" t="s">
        <v>138</v>
      </c>
      <c r="C520" t="s">
        <v>141</v>
      </c>
      <c r="D520" t="s">
        <v>32</v>
      </c>
      <c r="E520" s="6">
        <v>45360</v>
      </c>
      <c r="F520" t="s">
        <v>663</v>
      </c>
      <c r="G520" t="s">
        <v>1462</v>
      </c>
      <c r="H520" t="s">
        <v>39</v>
      </c>
      <c r="I520" s="4">
        <v>49348.66786423315</v>
      </c>
      <c r="J520">
        <v>221</v>
      </c>
      <c r="K520" t="s">
        <v>34</v>
      </c>
      <c r="L520" s="6">
        <v>45388</v>
      </c>
      <c r="M520" t="s">
        <v>54</v>
      </c>
      <c r="N520" t="s">
        <v>1747</v>
      </c>
      <c r="O520" t="s">
        <v>114</v>
      </c>
      <c r="P520">
        <v>28</v>
      </c>
      <c r="Q520" t="s">
        <v>48</v>
      </c>
    </row>
    <row r="521" spans="1:17">
      <c r="A521">
        <v>60</v>
      </c>
      <c r="B521" t="s">
        <v>137</v>
      </c>
      <c r="C521" t="s">
        <v>145</v>
      </c>
      <c r="D521" t="s">
        <v>28</v>
      </c>
      <c r="E521" s="6">
        <v>45357</v>
      </c>
      <c r="F521" t="s">
        <v>664</v>
      </c>
      <c r="G521" t="s">
        <v>1463</v>
      </c>
      <c r="H521" t="s">
        <v>39</v>
      </c>
      <c r="I521" s="4">
        <v>24160.14771462482</v>
      </c>
      <c r="J521">
        <v>221</v>
      </c>
      <c r="K521" t="s">
        <v>35</v>
      </c>
      <c r="L521" s="6">
        <v>45361</v>
      </c>
      <c r="M521" t="s">
        <v>52</v>
      </c>
      <c r="N521" t="s">
        <v>1746</v>
      </c>
      <c r="O521" t="s">
        <v>114</v>
      </c>
      <c r="P521">
        <v>4</v>
      </c>
      <c r="Q521" t="s">
        <v>47</v>
      </c>
    </row>
    <row r="522" spans="1:17">
      <c r="A522">
        <v>50</v>
      </c>
      <c r="B522" t="s">
        <v>138</v>
      </c>
      <c r="C522" t="s">
        <v>141</v>
      </c>
      <c r="D522" t="s">
        <v>28</v>
      </c>
      <c r="E522" s="6">
        <v>45352</v>
      </c>
      <c r="F522" t="s">
        <v>665</v>
      </c>
      <c r="G522" t="s">
        <v>1464</v>
      </c>
      <c r="H522" t="s">
        <v>39</v>
      </c>
      <c r="I522" s="4">
        <v>32363.75809681977</v>
      </c>
      <c r="J522">
        <v>418</v>
      </c>
      <c r="K522" t="s">
        <v>36</v>
      </c>
      <c r="L522" s="6">
        <v>45359</v>
      </c>
      <c r="M522" t="s">
        <v>50</v>
      </c>
      <c r="N522" t="s">
        <v>1746</v>
      </c>
      <c r="O522" t="s">
        <v>114</v>
      </c>
      <c r="P522">
        <v>7</v>
      </c>
      <c r="Q522" t="s">
        <v>46</v>
      </c>
    </row>
    <row r="523" spans="1:17">
      <c r="A523">
        <v>71</v>
      </c>
      <c r="B523" t="s">
        <v>137</v>
      </c>
      <c r="C523" t="s">
        <v>140</v>
      </c>
      <c r="D523" t="s">
        <v>29</v>
      </c>
      <c r="E523" s="6">
        <v>45379</v>
      </c>
      <c r="F523" t="s">
        <v>666</v>
      </c>
      <c r="G523" t="s">
        <v>1465</v>
      </c>
      <c r="H523" t="s">
        <v>38</v>
      </c>
      <c r="I523" s="4">
        <v>39488.28853926624</v>
      </c>
      <c r="J523">
        <v>425</v>
      </c>
      <c r="K523" t="s">
        <v>34</v>
      </c>
      <c r="L523" s="6">
        <v>45402</v>
      </c>
      <c r="M523" t="s">
        <v>52</v>
      </c>
      <c r="N523" t="s">
        <v>1746</v>
      </c>
      <c r="O523" t="s">
        <v>114</v>
      </c>
      <c r="P523">
        <v>23</v>
      </c>
      <c r="Q523" t="s">
        <v>48</v>
      </c>
    </row>
    <row r="524" spans="1:17">
      <c r="A524">
        <v>41</v>
      </c>
      <c r="B524" t="s">
        <v>137</v>
      </c>
      <c r="C524" t="s">
        <v>146</v>
      </c>
      <c r="D524" t="s">
        <v>27</v>
      </c>
      <c r="E524" s="6">
        <v>45380</v>
      </c>
      <c r="F524" t="s">
        <v>667</v>
      </c>
      <c r="G524" t="s">
        <v>1466</v>
      </c>
      <c r="H524" t="s">
        <v>41</v>
      </c>
      <c r="I524" s="4">
        <v>25401.53101727997</v>
      </c>
      <c r="J524">
        <v>272</v>
      </c>
      <c r="K524" t="s">
        <v>35</v>
      </c>
      <c r="L524" s="6">
        <v>45396</v>
      </c>
      <c r="M524" t="s">
        <v>54</v>
      </c>
      <c r="N524" t="s">
        <v>1746</v>
      </c>
      <c r="O524" t="s">
        <v>114</v>
      </c>
      <c r="P524">
        <v>16</v>
      </c>
      <c r="Q524" t="s">
        <v>46</v>
      </c>
    </row>
    <row r="525" spans="1:17">
      <c r="A525">
        <v>78</v>
      </c>
      <c r="B525" t="s">
        <v>138</v>
      </c>
      <c r="C525" t="s">
        <v>139</v>
      </c>
      <c r="D525" t="s">
        <v>31</v>
      </c>
      <c r="E525" s="6">
        <v>45354</v>
      </c>
      <c r="F525" t="s">
        <v>668</v>
      </c>
      <c r="G525" t="s">
        <v>1467</v>
      </c>
      <c r="H525" t="s">
        <v>42</v>
      </c>
      <c r="I525" s="4">
        <v>48674.84391990729</v>
      </c>
      <c r="J525">
        <v>466</v>
      </c>
      <c r="K525" t="s">
        <v>35</v>
      </c>
      <c r="L525" s="6">
        <v>45356</v>
      </c>
      <c r="M525" t="s">
        <v>50</v>
      </c>
      <c r="N525" t="s">
        <v>1747</v>
      </c>
      <c r="O525" t="s">
        <v>114</v>
      </c>
      <c r="P525">
        <v>2</v>
      </c>
      <c r="Q525" t="s">
        <v>48</v>
      </c>
    </row>
    <row r="526" spans="1:17">
      <c r="A526">
        <v>35</v>
      </c>
      <c r="B526" t="s">
        <v>137</v>
      </c>
      <c r="C526" t="s">
        <v>142</v>
      </c>
      <c r="D526" t="s">
        <v>30</v>
      </c>
      <c r="E526" s="6">
        <v>45365</v>
      </c>
      <c r="F526" t="s">
        <v>669</v>
      </c>
      <c r="G526" t="s">
        <v>1468</v>
      </c>
      <c r="H526" t="s">
        <v>38</v>
      </c>
      <c r="I526" s="4">
        <v>36119.39405335981</v>
      </c>
      <c r="J526">
        <v>436</v>
      </c>
      <c r="K526" t="s">
        <v>34</v>
      </c>
      <c r="L526" s="6">
        <v>45379</v>
      </c>
      <c r="M526" t="s">
        <v>53</v>
      </c>
      <c r="N526" t="s">
        <v>1746</v>
      </c>
      <c r="O526" t="s">
        <v>114</v>
      </c>
      <c r="P526">
        <v>14</v>
      </c>
      <c r="Q526" t="s">
        <v>45</v>
      </c>
    </row>
    <row r="527" spans="1:17">
      <c r="A527">
        <v>74</v>
      </c>
      <c r="B527" t="s">
        <v>138</v>
      </c>
      <c r="C527" t="s">
        <v>140</v>
      </c>
      <c r="D527" t="s">
        <v>32</v>
      </c>
      <c r="E527" s="6">
        <v>45373</v>
      </c>
      <c r="F527" t="s">
        <v>670</v>
      </c>
      <c r="G527" t="s">
        <v>1469</v>
      </c>
      <c r="H527" t="s">
        <v>40</v>
      </c>
      <c r="I527" s="4">
        <v>11212.44299199237</v>
      </c>
      <c r="J527">
        <v>456</v>
      </c>
      <c r="K527" t="s">
        <v>36</v>
      </c>
      <c r="L527" s="6">
        <v>45396</v>
      </c>
      <c r="M527" t="s">
        <v>50</v>
      </c>
      <c r="N527" t="s">
        <v>1747</v>
      </c>
      <c r="O527" t="s">
        <v>114</v>
      </c>
      <c r="P527">
        <v>23</v>
      </c>
      <c r="Q527" t="s">
        <v>48</v>
      </c>
    </row>
    <row r="528" spans="1:17">
      <c r="A528">
        <v>57</v>
      </c>
      <c r="B528" t="s">
        <v>138</v>
      </c>
      <c r="C528" t="s">
        <v>146</v>
      </c>
      <c r="D528" t="s">
        <v>29</v>
      </c>
      <c r="E528" s="6">
        <v>45357</v>
      </c>
      <c r="F528" t="s">
        <v>671</v>
      </c>
      <c r="G528" t="s">
        <v>1470</v>
      </c>
      <c r="H528" t="s">
        <v>42</v>
      </c>
      <c r="I528" s="4">
        <v>49837.85080456245</v>
      </c>
      <c r="J528">
        <v>364</v>
      </c>
      <c r="K528" t="s">
        <v>35</v>
      </c>
      <c r="L528" s="6">
        <v>45374</v>
      </c>
      <c r="M528" t="s">
        <v>53</v>
      </c>
      <c r="N528" t="s">
        <v>1746</v>
      </c>
      <c r="O528" t="s">
        <v>114</v>
      </c>
      <c r="P528">
        <v>17</v>
      </c>
      <c r="Q528" t="s">
        <v>47</v>
      </c>
    </row>
    <row r="529" spans="1:17">
      <c r="A529">
        <v>53</v>
      </c>
      <c r="B529" t="s">
        <v>137</v>
      </c>
      <c r="C529" t="s">
        <v>143</v>
      </c>
      <c r="D529" t="s">
        <v>32</v>
      </c>
      <c r="E529" s="6">
        <v>45363</v>
      </c>
      <c r="F529" t="s">
        <v>672</v>
      </c>
      <c r="G529" t="s">
        <v>1471</v>
      </c>
      <c r="H529" t="s">
        <v>41</v>
      </c>
      <c r="I529" s="4">
        <v>9987.565113449353</v>
      </c>
      <c r="J529">
        <v>257</v>
      </c>
      <c r="K529" t="s">
        <v>36</v>
      </c>
      <c r="L529" s="6">
        <v>45371</v>
      </c>
      <c r="M529" t="s">
        <v>52</v>
      </c>
      <c r="N529" t="s">
        <v>1747</v>
      </c>
      <c r="O529" t="s">
        <v>114</v>
      </c>
      <c r="P529">
        <v>8</v>
      </c>
      <c r="Q529" t="s">
        <v>47</v>
      </c>
    </row>
    <row r="530" spans="1:17">
      <c r="A530">
        <v>42</v>
      </c>
      <c r="B530" t="s">
        <v>137</v>
      </c>
      <c r="C530" t="s">
        <v>146</v>
      </c>
      <c r="D530" t="s">
        <v>29</v>
      </c>
      <c r="E530" s="6">
        <v>45375</v>
      </c>
      <c r="F530" t="s">
        <v>673</v>
      </c>
      <c r="G530" t="s">
        <v>1472</v>
      </c>
      <c r="H530" t="s">
        <v>41</v>
      </c>
      <c r="I530" s="4">
        <v>37715.07368728253</v>
      </c>
      <c r="J530">
        <v>448</v>
      </c>
      <c r="K530" t="s">
        <v>34</v>
      </c>
      <c r="L530" s="6">
        <v>45398</v>
      </c>
      <c r="M530" t="s">
        <v>50</v>
      </c>
      <c r="N530" t="s">
        <v>1746</v>
      </c>
      <c r="O530" t="s">
        <v>114</v>
      </c>
      <c r="P530">
        <v>23</v>
      </c>
      <c r="Q530" t="s">
        <v>46</v>
      </c>
    </row>
    <row r="531" spans="1:17">
      <c r="A531">
        <v>37</v>
      </c>
      <c r="B531" t="s">
        <v>137</v>
      </c>
      <c r="C531" t="s">
        <v>141</v>
      </c>
      <c r="D531" t="s">
        <v>32</v>
      </c>
      <c r="E531" s="6">
        <v>45361</v>
      </c>
      <c r="F531" t="s">
        <v>674</v>
      </c>
      <c r="G531" t="s">
        <v>1473</v>
      </c>
      <c r="H531" t="s">
        <v>42</v>
      </c>
      <c r="I531" s="4">
        <v>19939.72588415624</v>
      </c>
      <c r="J531">
        <v>379</v>
      </c>
      <c r="K531" t="s">
        <v>34</v>
      </c>
      <c r="L531" s="6">
        <v>45366</v>
      </c>
      <c r="M531" t="s">
        <v>52</v>
      </c>
      <c r="N531" t="s">
        <v>1746</v>
      </c>
      <c r="O531" t="s">
        <v>114</v>
      </c>
      <c r="P531">
        <v>5</v>
      </c>
      <c r="Q531" t="s">
        <v>46</v>
      </c>
    </row>
    <row r="532" spans="1:17">
      <c r="A532">
        <v>37</v>
      </c>
      <c r="B532" t="s">
        <v>138</v>
      </c>
      <c r="C532" t="s">
        <v>144</v>
      </c>
      <c r="D532" t="s">
        <v>31</v>
      </c>
      <c r="E532" s="6">
        <v>45365</v>
      </c>
      <c r="F532" t="s">
        <v>675</v>
      </c>
      <c r="G532" t="s">
        <v>1474</v>
      </c>
      <c r="H532" t="s">
        <v>40</v>
      </c>
      <c r="I532" s="4">
        <v>44719.52412673645</v>
      </c>
      <c r="J532">
        <v>119</v>
      </c>
      <c r="K532" t="s">
        <v>36</v>
      </c>
      <c r="L532" s="6">
        <v>45366</v>
      </c>
      <c r="M532" t="s">
        <v>52</v>
      </c>
      <c r="N532" t="s">
        <v>1746</v>
      </c>
      <c r="O532" t="s">
        <v>114</v>
      </c>
      <c r="P532">
        <v>1</v>
      </c>
      <c r="Q532" t="s">
        <v>46</v>
      </c>
    </row>
    <row r="533" spans="1:17">
      <c r="A533">
        <v>42</v>
      </c>
      <c r="B533" t="s">
        <v>138</v>
      </c>
      <c r="C533" t="s">
        <v>143</v>
      </c>
      <c r="D533" t="s">
        <v>27</v>
      </c>
      <c r="E533" s="6">
        <v>45358</v>
      </c>
      <c r="F533" t="s">
        <v>676</v>
      </c>
      <c r="G533" t="s">
        <v>1475</v>
      </c>
      <c r="H533" t="s">
        <v>42</v>
      </c>
      <c r="I533" s="4">
        <v>42091.78438491665</v>
      </c>
      <c r="J533">
        <v>343</v>
      </c>
      <c r="K533" t="s">
        <v>35</v>
      </c>
      <c r="L533" s="6">
        <v>45359</v>
      </c>
      <c r="M533" t="s">
        <v>51</v>
      </c>
      <c r="N533" t="s">
        <v>1747</v>
      </c>
      <c r="O533" t="s">
        <v>114</v>
      </c>
      <c r="P533">
        <v>1</v>
      </c>
      <c r="Q533" t="s">
        <v>46</v>
      </c>
    </row>
    <row r="534" spans="1:17">
      <c r="A534">
        <v>68</v>
      </c>
      <c r="B534" t="s">
        <v>138</v>
      </c>
      <c r="C534" t="s">
        <v>140</v>
      </c>
      <c r="D534" t="s">
        <v>29</v>
      </c>
      <c r="E534" s="6">
        <v>45360</v>
      </c>
      <c r="F534" t="s">
        <v>677</v>
      </c>
      <c r="G534" t="s">
        <v>1476</v>
      </c>
      <c r="H534" t="s">
        <v>42</v>
      </c>
      <c r="I534" s="4">
        <v>49875.60980395035</v>
      </c>
      <c r="J534">
        <v>463</v>
      </c>
      <c r="K534" t="s">
        <v>36</v>
      </c>
      <c r="L534" s="6">
        <v>45374</v>
      </c>
      <c r="M534" t="s">
        <v>53</v>
      </c>
      <c r="N534" t="s">
        <v>1747</v>
      </c>
      <c r="O534" t="s">
        <v>114</v>
      </c>
      <c r="P534">
        <v>14</v>
      </c>
      <c r="Q534" t="s">
        <v>48</v>
      </c>
    </row>
    <row r="535" spans="1:17">
      <c r="A535">
        <v>43</v>
      </c>
      <c r="B535" t="s">
        <v>138</v>
      </c>
      <c r="C535" t="s">
        <v>140</v>
      </c>
      <c r="D535" t="s">
        <v>30</v>
      </c>
      <c r="E535" s="6">
        <v>45379</v>
      </c>
      <c r="F535" t="s">
        <v>678</v>
      </c>
      <c r="G535" t="s">
        <v>1477</v>
      </c>
      <c r="H535" t="s">
        <v>41</v>
      </c>
      <c r="I535" s="4">
        <v>30452.69367422814</v>
      </c>
      <c r="J535">
        <v>339</v>
      </c>
      <c r="K535" t="s">
        <v>34</v>
      </c>
      <c r="L535" s="6">
        <v>45409</v>
      </c>
      <c r="M535" t="s">
        <v>53</v>
      </c>
      <c r="N535" t="s">
        <v>1747</v>
      </c>
      <c r="O535" t="s">
        <v>114</v>
      </c>
      <c r="P535">
        <v>30</v>
      </c>
      <c r="Q535" t="s">
        <v>46</v>
      </c>
    </row>
    <row r="536" spans="1:17">
      <c r="A536">
        <v>85</v>
      </c>
      <c r="B536" t="s">
        <v>137</v>
      </c>
      <c r="C536" t="s">
        <v>146</v>
      </c>
      <c r="D536" t="s">
        <v>28</v>
      </c>
      <c r="E536" s="6">
        <v>45380</v>
      </c>
      <c r="F536" t="s">
        <v>679</v>
      </c>
      <c r="G536" t="s">
        <v>1478</v>
      </c>
      <c r="H536" t="s">
        <v>40</v>
      </c>
      <c r="I536" s="4">
        <v>14805.48266547764</v>
      </c>
      <c r="J536">
        <v>342</v>
      </c>
      <c r="K536" t="s">
        <v>36</v>
      </c>
      <c r="L536" s="6">
        <v>45394</v>
      </c>
      <c r="M536" t="s">
        <v>51</v>
      </c>
      <c r="N536" t="s">
        <v>1747</v>
      </c>
      <c r="O536" t="s">
        <v>114</v>
      </c>
      <c r="P536">
        <v>14</v>
      </c>
      <c r="Q536" t="s">
        <v>48</v>
      </c>
    </row>
    <row r="537" spans="1:17">
      <c r="A537">
        <v>24</v>
      </c>
      <c r="B537" t="s">
        <v>138</v>
      </c>
      <c r="C537" t="s">
        <v>141</v>
      </c>
      <c r="D537" t="s">
        <v>29</v>
      </c>
      <c r="E537" s="6">
        <v>45365</v>
      </c>
      <c r="F537" t="s">
        <v>680</v>
      </c>
      <c r="G537" t="s">
        <v>1143</v>
      </c>
      <c r="H537" t="s">
        <v>42</v>
      </c>
      <c r="I537" s="4">
        <v>30707.80526796337</v>
      </c>
      <c r="J537">
        <v>367</v>
      </c>
      <c r="K537" t="s">
        <v>34</v>
      </c>
      <c r="L537" s="6">
        <v>45395</v>
      </c>
      <c r="M537" t="s">
        <v>52</v>
      </c>
      <c r="N537" t="s">
        <v>1748</v>
      </c>
      <c r="O537" t="s">
        <v>114</v>
      </c>
      <c r="P537">
        <v>30</v>
      </c>
      <c r="Q537" t="s">
        <v>45</v>
      </c>
    </row>
    <row r="538" spans="1:17">
      <c r="A538">
        <v>46</v>
      </c>
      <c r="B538" t="s">
        <v>138</v>
      </c>
      <c r="C538" t="s">
        <v>141</v>
      </c>
      <c r="D538" t="s">
        <v>32</v>
      </c>
      <c r="E538" s="6">
        <v>45370</v>
      </c>
      <c r="F538" t="s">
        <v>681</v>
      </c>
      <c r="G538" t="s">
        <v>1479</v>
      </c>
      <c r="H538" t="s">
        <v>38</v>
      </c>
      <c r="I538" s="4">
        <v>31672.11732904025</v>
      </c>
      <c r="J538">
        <v>467</v>
      </c>
      <c r="K538" t="s">
        <v>34</v>
      </c>
      <c r="L538" s="6">
        <v>45397</v>
      </c>
      <c r="M538" t="s">
        <v>52</v>
      </c>
      <c r="N538" t="s">
        <v>1748</v>
      </c>
      <c r="O538" t="s">
        <v>114</v>
      </c>
      <c r="P538">
        <v>27</v>
      </c>
      <c r="Q538" t="s">
        <v>46</v>
      </c>
    </row>
    <row r="539" spans="1:17">
      <c r="A539">
        <v>63</v>
      </c>
      <c r="B539" t="s">
        <v>137</v>
      </c>
      <c r="C539" t="s">
        <v>141</v>
      </c>
      <c r="D539" t="s">
        <v>32</v>
      </c>
      <c r="E539" s="6">
        <v>45379</v>
      </c>
      <c r="F539" t="s">
        <v>682</v>
      </c>
      <c r="G539" t="s">
        <v>1480</v>
      </c>
      <c r="H539" t="s">
        <v>41</v>
      </c>
      <c r="I539" s="4">
        <v>2215.362014546273</v>
      </c>
      <c r="J539">
        <v>354</v>
      </c>
      <c r="K539" t="s">
        <v>36</v>
      </c>
      <c r="L539" s="6">
        <v>45400</v>
      </c>
      <c r="M539" t="s">
        <v>54</v>
      </c>
      <c r="N539" t="s">
        <v>1747</v>
      </c>
      <c r="O539" t="s">
        <v>114</v>
      </c>
      <c r="P539">
        <v>21</v>
      </c>
      <c r="Q539" t="s">
        <v>47</v>
      </c>
    </row>
    <row r="540" spans="1:17">
      <c r="A540">
        <v>80</v>
      </c>
      <c r="B540" t="s">
        <v>138</v>
      </c>
      <c r="C540" t="s">
        <v>144</v>
      </c>
      <c r="D540" t="s">
        <v>27</v>
      </c>
      <c r="E540" s="6">
        <v>45354</v>
      </c>
      <c r="F540" t="s">
        <v>683</v>
      </c>
      <c r="G540" t="s">
        <v>1481</v>
      </c>
      <c r="H540" t="s">
        <v>40</v>
      </c>
      <c r="I540" s="4">
        <v>5350.727761564771</v>
      </c>
      <c r="J540">
        <v>337</v>
      </c>
      <c r="K540" t="s">
        <v>35</v>
      </c>
      <c r="L540" s="6">
        <v>45361</v>
      </c>
      <c r="M540" t="s">
        <v>51</v>
      </c>
      <c r="N540" t="s">
        <v>1747</v>
      </c>
      <c r="O540" t="s">
        <v>114</v>
      </c>
      <c r="P540">
        <v>7</v>
      </c>
      <c r="Q540" t="s">
        <v>48</v>
      </c>
    </row>
    <row r="541" spans="1:17">
      <c r="A541">
        <v>74</v>
      </c>
      <c r="B541" t="s">
        <v>137</v>
      </c>
      <c r="C541" t="s">
        <v>139</v>
      </c>
      <c r="D541" t="s">
        <v>32</v>
      </c>
      <c r="E541" s="6">
        <v>45370</v>
      </c>
      <c r="F541" t="s">
        <v>684</v>
      </c>
      <c r="G541" t="s">
        <v>1482</v>
      </c>
      <c r="H541" t="s">
        <v>40</v>
      </c>
      <c r="I541" s="4">
        <v>41095.31239346484</v>
      </c>
      <c r="J541">
        <v>311</v>
      </c>
      <c r="K541" t="s">
        <v>35</v>
      </c>
      <c r="L541" s="6">
        <v>45399</v>
      </c>
      <c r="M541" t="s">
        <v>53</v>
      </c>
      <c r="N541" t="s">
        <v>1748</v>
      </c>
      <c r="O541" t="s">
        <v>114</v>
      </c>
      <c r="P541">
        <v>29</v>
      </c>
      <c r="Q541" t="s">
        <v>48</v>
      </c>
    </row>
    <row r="542" spans="1:17">
      <c r="A542">
        <v>63</v>
      </c>
      <c r="B542" t="s">
        <v>138</v>
      </c>
      <c r="C542" t="s">
        <v>141</v>
      </c>
      <c r="D542" t="s">
        <v>30</v>
      </c>
      <c r="E542" s="6">
        <v>45355</v>
      </c>
      <c r="F542" t="s">
        <v>685</v>
      </c>
      <c r="G542" t="s">
        <v>1483</v>
      </c>
      <c r="H542" t="s">
        <v>40</v>
      </c>
      <c r="I542" s="4">
        <v>20355.71129554136</v>
      </c>
      <c r="J542">
        <v>207</v>
      </c>
      <c r="K542" t="s">
        <v>36</v>
      </c>
      <c r="L542" s="6">
        <v>45374</v>
      </c>
      <c r="M542" t="s">
        <v>53</v>
      </c>
      <c r="N542" t="s">
        <v>1747</v>
      </c>
      <c r="O542" t="s">
        <v>114</v>
      </c>
      <c r="P542">
        <v>19</v>
      </c>
      <c r="Q542" t="s">
        <v>47</v>
      </c>
    </row>
    <row r="543" spans="1:17">
      <c r="A543">
        <v>62</v>
      </c>
      <c r="B543" t="s">
        <v>137</v>
      </c>
      <c r="C543" t="s">
        <v>141</v>
      </c>
      <c r="D543" t="s">
        <v>28</v>
      </c>
      <c r="E543" s="6">
        <v>45358</v>
      </c>
      <c r="F543" t="s">
        <v>686</v>
      </c>
      <c r="G543" t="s">
        <v>1090</v>
      </c>
      <c r="H543" t="s">
        <v>39</v>
      </c>
      <c r="I543" s="4">
        <v>44900.6728293632</v>
      </c>
      <c r="J543">
        <v>121</v>
      </c>
      <c r="K543" t="s">
        <v>35</v>
      </c>
      <c r="L543" s="6">
        <v>45388</v>
      </c>
      <c r="M543" t="s">
        <v>54</v>
      </c>
      <c r="N543" t="s">
        <v>1748</v>
      </c>
      <c r="O543" t="s">
        <v>114</v>
      </c>
      <c r="P543">
        <v>30</v>
      </c>
      <c r="Q543" t="s">
        <v>47</v>
      </c>
    </row>
    <row r="544" spans="1:17">
      <c r="A544">
        <v>63</v>
      </c>
      <c r="B544" t="s">
        <v>138</v>
      </c>
      <c r="C544" t="s">
        <v>139</v>
      </c>
      <c r="D544" t="s">
        <v>32</v>
      </c>
      <c r="E544" s="6">
        <v>45364</v>
      </c>
      <c r="F544" t="s">
        <v>687</v>
      </c>
      <c r="G544" t="s">
        <v>1484</v>
      </c>
      <c r="H544" t="s">
        <v>41</v>
      </c>
      <c r="I544" s="4">
        <v>5646.636391145286</v>
      </c>
      <c r="J544">
        <v>272</v>
      </c>
      <c r="K544" t="s">
        <v>35</v>
      </c>
      <c r="L544" s="6">
        <v>45371</v>
      </c>
      <c r="M544" t="s">
        <v>52</v>
      </c>
      <c r="N544" t="s">
        <v>1746</v>
      </c>
      <c r="O544" t="s">
        <v>114</v>
      </c>
      <c r="P544">
        <v>7</v>
      </c>
      <c r="Q544" t="s">
        <v>47</v>
      </c>
    </row>
    <row r="545" spans="1:17">
      <c r="A545">
        <v>67</v>
      </c>
      <c r="B545" t="s">
        <v>138</v>
      </c>
      <c r="C545" t="s">
        <v>145</v>
      </c>
      <c r="D545" t="s">
        <v>31</v>
      </c>
      <c r="E545" s="6">
        <v>45367</v>
      </c>
      <c r="F545" t="s">
        <v>688</v>
      </c>
      <c r="G545" t="s">
        <v>1485</v>
      </c>
      <c r="H545" t="s">
        <v>38</v>
      </c>
      <c r="I545" s="4">
        <v>38904.51694132289</v>
      </c>
      <c r="J545">
        <v>404</v>
      </c>
      <c r="K545" t="s">
        <v>36</v>
      </c>
      <c r="L545" s="6">
        <v>45374</v>
      </c>
      <c r="M545" t="s">
        <v>51</v>
      </c>
      <c r="N545" t="s">
        <v>1747</v>
      </c>
      <c r="O545" t="s">
        <v>114</v>
      </c>
      <c r="P545">
        <v>7</v>
      </c>
      <c r="Q545" t="s">
        <v>48</v>
      </c>
    </row>
    <row r="546" spans="1:17">
      <c r="A546">
        <v>56</v>
      </c>
      <c r="B546" t="s">
        <v>137</v>
      </c>
      <c r="C546" t="s">
        <v>140</v>
      </c>
      <c r="D546" t="s">
        <v>30</v>
      </c>
      <c r="E546" s="6">
        <v>45380</v>
      </c>
      <c r="F546" t="s">
        <v>689</v>
      </c>
      <c r="G546" t="s">
        <v>1486</v>
      </c>
      <c r="H546" t="s">
        <v>41</v>
      </c>
      <c r="I546" s="4">
        <v>34131.2205417117</v>
      </c>
      <c r="J546">
        <v>109</v>
      </c>
      <c r="K546" t="s">
        <v>35</v>
      </c>
      <c r="L546" s="6">
        <v>45410</v>
      </c>
      <c r="M546" t="s">
        <v>52</v>
      </c>
      <c r="N546" t="s">
        <v>1746</v>
      </c>
      <c r="O546" t="s">
        <v>114</v>
      </c>
      <c r="P546">
        <v>30</v>
      </c>
      <c r="Q546" t="s">
        <v>47</v>
      </c>
    </row>
    <row r="547" spans="1:17">
      <c r="A547">
        <v>58</v>
      </c>
      <c r="B547" t="s">
        <v>138</v>
      </c>
      <c r="C547" t="s">
        <v>146</v>
      </c>
      <c r="D547" t="s">
        <v>32</v>
      </c>
      <c r="E547" s="6">
        <v>45352</v>
      </c>
      <c r="F547" t="s">
        <v>690</v>
      </c>
      <c r="G547" t="s">
        <v>1487</v>
      </c>
      <c r="H547" t="s">
        <v>41</v>
      </c>
      <c r="I547" s="4">
        <v>49290.60405024383</v>
      </c>
      <c r="J547">
        <v>443</v>
      </c>
      <c r="K547" t="s">
        <v>35</v>
      </c>
      <c r="L547" s="6">
        <v>45357</v>
      </c>
      <c r="M547" t="s">
        <v>50</v>
      </c>
      <c r="N547" t="s">
        <v>1746</v>
      </c>
      <c r="O547" t="s">
        <v>114</v>
      </c>
      <c r="P547">
        <v>5</v>
      </c>
      <c r="Q547" t="s">
        <v>47</v>
      </c>
    </row>
    <row r="548" spans="1:17">
      <c r="A548">
        <v>74</v>
      </c>
      <c r="B548" t="s">
        <v>138</v>
      </c>
      <c r="C548" t="s">
        <v>140</v>
      </c>
      <c r="D548" t="s">
        <v>32</v>
      </c>
      <c r="E548" s="6">
        <v>45357</v>
      </c>
      <c r="F548" t="s">
        <v>691</v>
      </c>
      <c r="G548" t="s">
        <v>1488</v>
      </c>
      <c r="H548" t="s">
        <v>42</v>
      </c>
      <c r="I548" s="4">
        <v>48173.46477626964</v>
      </c>
      <c r="J548">
        <v>168</v>
      </c>
      <c r="K548" t="s">
        <v>34</v>
      </c>
      <c r="L548" s="6">
        <v>45386</v>
      </c>
      <c r="M548" t="s">
        <v>52</v>
      </c>
      <c r="N548" t="s">
        <v>1746</v>
      </c>
      <c r="O548" t="s">
        <v>114</v>
      </c>
      <c r="P548">
        <v>29</v>
      </c>
      <c r="Q548" t="s">
        <v>48</v>
      </c>
    </row>
    <row r="549" spans="1:17">
      <c r="A549">
        <v>66</v>
      </c>
      <c r="B549" t="s">
        <v>138</v>
      </c>
      <c r="C549" t="s">
        <v>146</v>
      </c>
      <c r="D549" t="s">
        <v>32</v>
      </c>
      <c r="E549" s="6">
        <v>45368</v>
      </c>
      <c r="F549" t="s">
        <v>692</v>
      </c>
      <c r="G549" t="s">
        <v>1489</v>
      </c>
      <c r="H549" t="s">
        <v>42</v>
      </c>
      <c r="I549" s="4">
        <v>8507.094427999196</v>
      </c>
      <c r="J549">
        <v>135</v>
      </c>
      <c r="K549" t="s">
        <v>36</v>
      </c>
      <c r="L549" s="6">
        <v>45382</v>
      </c>
      <c r="M549" t="s">
        <v>54</v>
      </c>
      <c r="N549" t="s">
        <v>1748</v>
      </c>
      <c r="O549" t="s">
        <v>114</v>
      </c>
      <c r="P549">
        <v>14</v>
      </c>
      <c r="Q549" t="s">
        <v>48</v>
      </c>
    </row>
    <row r="550" spans="1:17">
      <c r="A550">
        <v>23</v>
      </c>
      <c r="B550" t="s">
        <v>138</v>
      </c>
      <c r="C550" t="s">
        <v>140</v>
      </c>
      <c r="D550" t="s">
        <v>28</v>
      </c>
      <c r="E550" s="6">
        <v>45368</v>
      </c>
      <c r="F550" t="s">
        <v>693</v>
      </c>
      <c r="G550" t="s">
        <v>1490</v>
      </c>
      <c r="H550" t="s">
        <v>38</v>
      </c>
      <c r="I550" s="4">
        <v>13123.73258216669</v>
      </c>
      <c r="J550">
        <v>470</v>
      </c>
      <c r="K550" t="s">
        <v>35</v>
      </c>
      <c r="L550" s="6">
        <v>45393</v>
      </c>
      <c r="M550" t="s">
        <v>51</v>
      </c>
      <c r="N550" t="s">
        <v>1747</v>
      </c>
      <c r="O550" t="s">
        <v>114</v>
      </c>
      <c r="P550">
        <v>25</v>
      </c>
      <c r="Q550" t="s">
        <v>45</v>
      </c>
    </row>
    <row r="551" spans="1:17">
      <c r="A551">
        <v>43</v>
      </c>
      <c r="B551" t="s">
        <v>138</v>
      </c>
      <c r="C551" t="s">
        <v>139</v>
      </c>
      <c r="D551" t="s">
        <v>27</v>
      </c>
      <c r="E551" s="6">
        <v>45380</v>
      </c>
      <c r="F551" t="s">
        <v>694</v>
      </c>
      <c r="G551" t="s">
        <v>1491</v>
      </c>
      <c r="H551" t="s">
        <v>41</v>
      </c>
      <c r="I551" s="4">
        <v>27358.7597238899</v>
      </c>
      <c r="J551">
        <v>207</v>
      </c>
      <c r="K551" t="s">
        <v>34</v>
      </c>
      <c r="L551" s="6">
        <v>45385</v>
      </c>
      <c r="M551" t="s">
        <v>51</v>
      </c>
      <c r="N551" t="s">
        <v>1748</v>
      </c>
      <c r="O551" t="s">
        <v>114</v>
      </c>
      <c r="P551">
        <v>5</v>
      </c>
      <c r="Q551" t="s">
        <v>46</v>
      </c>
    </row>
    <row r="552" spans="1:17">
      <c r="A552">
        <v>21</v>
      </c>
      <c r="B552" t="s">
        <v>138</v>
      </c>
      <c r="C552" t="s">
        <v>145</v>
      </c>
      <c r="D552" t="s">
        <v>31</v>
      </c>
      <c r="E552" s="6">
        <v>45365</v>
      </c>
      <c r="F552" t="s">
        <v>695</v>
      </c>
      <c r="G552" t="s">
        <v>1492</v>
      </c>
      <c r="H552" t="s">
        <v>39</v>
      </c>
      <c r="I552" s="4">
        <v>34889.73344917766</v>
      </c>
      <c r="J552">
        <v>351</v>
      </c>
      <c r="K552" t="s">
        <v>36</v>
      </c>
      <c r="L552" s="6">
        <v>45369</v>
      </c>
      <c r="M552" t="s">
        <v>50</v>
      </c>
      <c r="N552" t="s">
        <v>1746</v>
      </c>
      <c r="O552" t="s">
        <v>114</v>
      </c>
      <c r="P552">
        <v>4</v>
      </c>
      <c r="Q552" t="s">
        <v>45</v>
      </c>
    </row>
    <row r="553" spans="1:17">
      <c r="A553">
        <v>66</v>
      </c>
      <c r="B553" t="s">
        <v>138</v>
      </c>
      <c r="C553" t="s">
        <v>143</v>
      </c>
      <c r="D553" t="s">
        <v>32</v>
      </c>
      <c r="E553" s="6">
        <v>45361</v>
      </c>
      <c r="F553" t="s">
        <v>696</v>
      </c>
      <c r="G553" t="s">
        <v>991</v>
      </c>
      <c r="H553" t="s">
        <v>38</v>
      </c>
      <c r="I553" s="4">
        <v>48560.36331053167</v>
      </c>
      <c r="J553">
        <v>211</v>
      </c>
      <c r="K553" t="s">
        <v>35</v>
      </c>
      <c r="L553" s="6">
        <v>45380</v>
      </c>
      <c r="M553" t="s">
        <v>51</v>
      </c>
      <c r="N553" t="s">
        <v>1748</v>
      </c>
      <c r="O553" t="s">
        <v>114</v>
      </c>
      <c r="P553">
        <v>19</v>
      </c>
      <c r="Q553" t="s">
        <v>48</v>
      </c>
    </row>
    <row r="554" spans="1:17">
      <c r="A554">
        <v>82</v>
      </c>
      <c r="B554" t="s">
        <v>138</v>
      </c>
      <c r="C554" t="s">
        <v>141</v>
      </c>
      <c r="D554" t="s">
        <v>30</v>
      </c>
      <c r="E554" s="6">
        <v>45370</v>
      </c>
      <c r="F554" t="s">
        <v>697</v>
      </c>
      <c r="G554" t="s">
        <v>1493</v>
      </c>
      <c r="H554" t="s">
        <v>41</v>
      </c>
      <c r="I554" s="4">
        <v>15383.78079651901</v>
      </c>
      <c r="J554">
        <v>430</v>
      </c>
      <c r="K554" t="s">
        <v>36</v>
      </c>
      <c r="L554" s="6">
        <v>45372</v>
      </c>
      <c r="M554" t="s">
        <v>50</v>
      </c>
      <c r="N554" t="s">
        <v>1748</v>
      </c>
      <c r="O554" t="s">
        <v>114</v>
      </c>
      <c r="P554">
        <v>2</v>
      </c>
      <c r="Q554" t="s">
        <v>48</v>
      </c>
    </row>
    <row r="555" spans="1:17">
      <c r="A555">
        <v>76</v>
      </c>
      <c r="B555" t="s">
        <v>137</v>
      </c>
      <c r="C555" t="s">
        <v>145</v>
      </c>
      <c r="D555" t="s">
        <v>32</v>
      </c>
      <c r="E555" s="6">
        <v>45381</v>
      </c>
      <c r="F555" t="s">
        <v>698</v>
      </c>
      <c r="G555" t="s">
        <v>1494</v>
      </c>
      <c r="H555" t="s">
        <v>42</v>
      </c>
      <c r="I555" s="4">
        <v>3360.127952753021</v>
      </c>
      <c r="J555">
        <v>234</v>
      </c>
      <c r="K555" t="s">
        <v>34</v>
      </c>
      <c r="L555" s="6">
        <v>45400</v>
      </c>
      <c r="M555" t="s">
        <v>53</v>
      </c>
      <c r="N555" t="s">
        <v>1747</v>
      </c>
      <c r="O555" t="s">
        <v>114</v>
      </c>
      <c r="P555">
        <v>19</v>
      </c>
      <c r="Q555" t="s">
        <v>48</v>
      </c>
    </row>
    <row r="556" spans="1:17">
      <c r="A556">
        <v>69</v>
      </c>
      <c r="B556" t="s">
        <v>138</v>
      </c>
      <c r="C556" t="s">
        <v>143</v>
      </c>
      <c r="D556" t="s">
        <v>32</v>
      </c>
      <c r="E556" s="6">
        <v>45362</v>
      </c>
      <c r="F556" t="s">
        <v>699</v>
      </c>
      <c r="G556" t="s">
        <v>1495</v>
      </c>
      <c r="H556" t="s">
        <v>40</v>
      </c>
      <c r="I556" s="4">
        <v>16722.39101976662</v>
      </c>
      <c r="J556">
        <v>416</v>
      </c>
      <c r="K556" t="s">
        <v>36</v>
      </c>
      <c r="L556" s="6">
        <v>45363</v>
      </c>
      <c r="M556" t="s">
        <v>54</v>
      </c>
      <c r="N556" t="s">
        <v>1748</v>
      </c>
      <c r="O556" t="s">
        <v>114</v>
      </c>
      <c r="P556">
        <v>1</v>
      </c>
      <c r="Q556" t="s">
        <v>48</v>
      </c>
    </row>
    <row r="557" spans="1:17">
      <c r="A557">
        <v>45</v>
      </c>
      <c r="B557" t="s">
        <v>138</v>
      </c>
      <c r="C557" t="s">
        <v>146</v>
      </c>
      <c r="D557" t="s">
        <v>32</v>
      </c>
      <c r="E557" s="6">
        <v>45363</v>
      </c>
      <c r="F557" t="s">
        <v>700</v>
      </c>
      <c r="G557" t="s">
        <v>1496</v>
      </c>
      <c r="H557" t="s">
        <v>40</v>
      </c>
      <c r="I557" s="4">
        <v>43714.17415640412</v>
      </c>
      <c r="J557">
        <v>498</v>
      </c>
      <c r="K557" t="s">
        <v>36</v>
      </c>
      <c r="L557" s="6">
        <v>45379</v>
      </c>
      <c r="M557" t="s">
        <v>50</v>
      </c>
      <c r="N557" t="s">
        <v>1748</v>
      </c>
      <c r="O557" t="s">
        <v>114</v>
      </c>
      <c r="P557">
        <v>16</v>
      </c>
      <c r="Q557" t="s">
        <v>46</v>
      </c>
    </row>
    <row r="558" spans="1:17">
      <c r="A558">
        <v>37</v>
      </c>
      <c r="B558" t="s">
        <v>137</v>
      </c>
      <c r="C558" t="s">
        <v>145</v>
      </c>
      <c r="D558" t="s">
        <v>27</v>
      </c>
      <c r="E558" s="6">
        <v>45363</v>
      </c>
      <c r="F558" t="s">
        <v>701</v>
      </c>
      <c r="G558" t="s">
        <v>1497</v>
      </c>
      <c r="H558" t="s">
        <v>41</v>
      </c>
      <c r="I558" s="4">
        <v>45896.45439378026</v>
      </c>
      <c r="J558">
        <v>232</v>
      </c>
      <c r="K558" t="s">
        <v>35</v>
      </c>
      <c r="L558" s="6">
        <v>45375</v>
      </c>
      <c r="M558" t="s">
        <v>53</v>
      </c>
      <c r="N558" t="s">
        <v>1746</v>
      </c>
      <c r="O558" t="s">
        <v>114</v>
      </c>
      <c r="P558">
        <v>12</v>
      </c>
      <c r="Q558" t="s">
        <v>46</v>
      </c>
    </row>
    <row r="559" spans="1:17">
      <c r="A559">
        <v>77</v>
      </c>
      <c r="B559" t="s">
        <v>138</v>
      </c>
      <c r="C559" t="s">
        <v>145</v>
      </c>
      <c r="D559" t="s">
        <v>31</v>
      </c>
      <c r="E559" s="6">
        <v>45354</v>
      </c>
      <c r="F559" t="s">
        <v>702</v>
      </c>
      <c r="G559" t="s">
        <v>1498</v>
      </c>
      <c r="H559" t="s">
        <v>39</v>
      </c>
      <c r="I559" s="4">
        <v>29015.60634972226</v>
      </c>
      <c r="J559">
        <v>244</v>
      </c>
      <c r="K559" t="s">
        <v>36</v>
      </c>
      <c r="L559" s="6">
        <v>45364</v>
      </c>
      <c r="M559" t="s">
        <v>54</v>
      </c>
      <c r="N559" t="s">
        <v>1746</v>
      </c>
      <c r="O559" t="s">
        <v>114</v>
      </c>
      <c r="P559">
        <v>10</v>
      </c>
      <c r="Q559" t="s">
        <v>48</v>
      </c>
    </row>
    <row r="560" spans="1:17">
      <c r="A560">
        <v>30</v>
      </c>
      <c r="B560" t="s">
        <v>137</v>
      </c>
      <c r="C560" t="s">
        <v>140</v>
      </c>
      <c r="D560" t="s">
        <v>29</v>
      </c>
      <c r="E560" s="6">
        <v>45355</v>
      </c>
      <c r="F560" t="s">
        <v>703</v>
      </c>
      <c r="G560" t="s">
        <v>1499</v>
      </c>
      <c r="H560" t="s">
        <v>38</v>
      </c>
      <c r="I560" s="4">
        <v>8598.672477381791</v>
      </c>
      <c r="J560">
        <v>439</v>
      </c>
      <c r="K560" t="s">
        <v>34</v>
      </c>
      <c r="L560" s="6">
        <v>45372</v>
      </c>
      <c r="M560" t="s">
        <v>52</v>
      </c>
      <c r="N560" t="s">
        <v>1748</v>
      </c>
      <c r="O560" t="s">
        <v>114</v>
      </c>
      <c r="P560">
        <v>17</v>
      </c>
      <c r="Q560" t="s">
        <v>45</v>
      </c>
    </row>
    <row r="561" spans="1:17">
      <c r="A561">
        <v>64</v>
      </c>
      <c r="B561" t="s">
        <v>138</v>
      </c>
      <c r="C561" t="s">
        <v>142</v>
      </c>
      <c r="D561" t="s">
        <v>27</v>
      </c>
      <c r="E561" s="6">
        <v>45354</v>
      </c>
      <c r="F561" t="s">
        <v>704</v>
      </c>
      <c r="G561" t="s">
        <v>1500</v>
      </c>
      <c r="H561" t="s">
        <v>38</v>
      </c>
      <c r="I561" s="4">
        <v>10480.09909862826</v>
      </c>
      <c r="J561">
        <v>439</v>
      </c>
      <c r="K561" t="s">
        <v>36</v>
      </c>
      <c r="L561" s="6">
        <v>45356</v>
      </c>
      <c r="M561" t="s">
        <v>51</v>
      </c>
      <c r="N561" t="s">
        <v>1747</v>
      </c>
      <c r="O561" t="s">
        <v>114</v>
      </c>
      <c r="P561">
        <v>2</v>
      </c>
      <c r="Q561" t="s">
        <v>47</v>
      </c>
    </row>
    <row r="562" spans="1:17">
      <c r="A562">
        <v>46</v>
      </c>
      <c r="B562" t="s">
        <v>138</v>
      </c>
      <c r="C562" t="s">
        <v>146</v>
      </c>
      <c r="D562" t="s">
        <v>27</v>
      </c>
      <c r="E562" s="6">
        <v>45375</v>
      </c>
      <c r="F562" t="s">
        <v>705</v>
      </c>
      <c r="G562" t="s">
        <v>1501</v>
      </c>
      <c r="H562" t="s">
        <v>40</v>
      </c>
      <c r="I562" s="4">
        <v>46843.37233233529</v>
      </c>
      <c r="J562">
        <v>215</v>
      </c>
      <c r="K562" t="s">
        <v>34</v>
      </c>
      <c r="L562" s="6">
        <v>45402</v>
      </c>
      <c r="M562" t="s">
        <v>54</v>
      </c>
      <c r="N562" t="s">
        <v>1748</v>
      </c>
      <c r="O562" t="s">
        <v>114</v>
      </c>
      <c r="P562">
        <v>27</v>
      </c>
      <c r="Q562" t="s">
        <v>46</v>
      </c>
    </row>
    <row r="563" spans="1:17">
      <c r="A563">
        <v>34</v>
      </c>
      <c r="B563" t="s">
        <v>137</v>
      </c>
      <c r="C563" t="s">
        <v>144</v>
      </c>
      <c r="D563" t="s">
        <v>31</v>
      </c>
      <c r="E563" s="6">
        <v>45368</v>
      </c>
      <c r="F563" t="s">
        <v>706</v>
      </c>
      <c r="G563" t="s">
        <v>1502</v>
      </c>
      <c r="H563" t="s">
        <v>42</v>
      </c>
      <c r="I563" s="4">
        <v>15501.20607230823</v>
      </c>
      <c r="J563">
        <v>349</v>
      </c>
      <c r="K563" t="s">
        <v>34</v>
      </c>
      <c r="L563" s="6">
        <v>45391</v>
      </c>
      <c r="M563" t="s">
        <v>52</v>
      </c>
      <c r="N563" t="s">
        <v>1747</v>
      </c>
      <c r="O563" t="s">
        <v>114</v>
      </c>
      <c r="P563">
        <v>23</v>
      </c>
      <c r="Q563" t="s">
        <v>45</v>
      </c>
    </row>
    <row r="564" spans="1:17">
      <c r="A564">
        <v>29</v>
      </c>
      <c r="B564" t="s">
        <v>137</v>
      </c>
      <c r="C564" t="s">
        <v>142</v>
      </c>
      <c r="D564" t="s">
        <v>32</v>
      </c>
      <c r="E564" s="6">
        <v>45353</v>
      </c>
      <c r="F564" t="s">
        <v>707</v>
      </c>
      <c r="G564" t="s">
        <v>1503</v>
      </c>
      <c r="H564" t="s">
        <v>39</v>
      </c>
      <c r="I564" s="4">
        <v>22179.53752544633</v>
      </c>
      <c r="J564">
        <v>499</v>
      </c>
      <c r="K564" t="s">
        <v>35</v>
      </c>
      <c r="L564" s="6">
        <v>45367</v>
      </c>
      <c r="M564" t="s">
        <v>50</v>
      </c>
      <c r="N564" t="s">
        <v>1748</v>
      </c>
      <c r="O564" t="s">
        <v>114</v>
      </c>
      <c r="P564">
        <v>14</v>
      </c>
      <c r="Q564" t="s">
        <v>45</v>
      </c>
    </row>
    <row r="565" spans="1:17">
      <c r="A565">
        <v>60</v>
      </c>
      <c r="B565" t="s">
        <v>138</v>
      </c>
      <c r="C565" t="s">
        <v>141</v>
      </c>
      <c r="D565" t="s">
        <v>27</v>
      </c>
      <c r="E565" s="6">
        <v>45355</v>
      </c>
      <c r="F565" t="s">
        <v>708</v>
      </c>
      <c r="G565" t="s">
        <v>1504</v>
      </c>
      <c r="H565" t="s">
        <v>41</v>
      </c>
      <c r="I565" s="4">
        <v>47117.63938923665</v>
      </c>
      <c r="J565">
        <v>230</v>
      </c>
      <c r="K565" t="s">
        <v>35</v>
      </c>
      <c r="L565" s="6">
        <v>45378</v>
      </c>
      <c r="M565" t="s">
        <v>52</v>
      </c>
      <c r="N565" t="s">
        <v>1748</v>
      </c>
      <c r="O565" t="s">
        <v>114</v>
      </c>
      <c r="P565">
        <v>23</v>
      </c>
      <c r="Q565" t="s">
        <v>47</v>
      </c>
    </row>
    <row r="566" spans="1:17">
      <c r="A566">
        <v>44</v>
      </c>
      <c r="B566" t="s">
        <v>138</v>
      </c>
      <c r="C566" t="s">
        <v>143</v>
      </c>
      <c r="D566" t="s">
        <v>29</v>
      </c>
      <c r="E566" s="6">
        <v>45374</v>
      </c>
      <c r="F566" t="s">
        <v>709</v>
      </c>
      <c r="G566" t="s">
        <v>1505</v>
      </c>
      <c r="H566" t="s">
        <v>40</v>
      </c>
      <c r="I566" s="4">
        <v>11960.89324358583</v>
      </c>
      <c r="J566">
        <v>149</v>
      </c>
      <c r="K566" t="s">
        <v>35</v>
      </c>
      <c r="L566" s="6">
        <v>45388</v>
      </c>
      <c r="M566" t="s">
        <v>52</v>
      </c>
      <c r="N566" t="s">
        <v>1747</v>
      </c>
      <c r="O566" t="s">
        <v>114</v>
      </c>
      <c r="P566">
        <v>14</v>
      </c>
      <c r="Q566" t="s">
        <v>46</v>
      </c>
    </row>
    <row r="567" spans="1:17">
      <c r="A567">
        <v>76</v>
      </c>
      <c r="B567" t="s">
        <v>138</v>
      </c>
      <c r="C567" t="s">
        <v>141</v>
      </c>
      <c r="D567" t="s">
        <v>31</v>
      </c>
      <c r="E567" s="6">
        <v>45365</v>
      </c>
      <c r="F567" t="s">
        <v>710</v>
      </c>
      <c r="G567" t="s">
        <v>1506</v>
      </c>
      <c r="H567" t="s">
        <v>38</v>
      </c>
      <c r="I567" s="4">
        <v>23153.80791251609</v>
      </c>
      <c r="J567">
        <v>415</v>
      </c>
      <c r="K567" t="s">
        <v>35</v>
      </c>
      <c r="L567" s="6">
        <v>45385</v>
      </c>
      <c r="M567" t="s">
        <v>50</v>
      </c>
      <c r="N567" t="s">
        <v>1746</v>
      </c>
      <c r="O567" t="s">
        <v>114</v>
      </c>
      <c r="P567">
        <v>20</v>
      </c>
      <c r="Q567" t="s">
        <v>48</v>
      </c>
    </row>
    <row r="568" spans="1:17">
      <c r="A568">
        <v>41</v>
      </c>
      <c r="B568" t="s">
        <v>138</v>
      </c>
      <c r="C568" t="s">
        <v>142</v>
      </c>
      <c r="D568" t="s">
        <v>32</v>
      </c>
      <c r="E568" s="6">
        <v>45370</v>
      </c>
      <c r="F568" t="s">
        <v>711</v>
      </c>
      <c r="G568" t="s">
        <v>1507</v>
      </c>
      <c r="H568" t="s">
        <v>39</v>
      </c>
      <c r="I568" s="4">
        <v>44051.32025181963</v>
      </c>
      <c r="J568">
        <v>334</v>
      </c>
      <c r="K568" t="s">
        <v>35</v>
      </c>
      <c r="L568" s="6">
        <v>45387</v>
      </c>
      <c r="M568" t="s">
        <v>51</v>
      </c>
      <c r="N568" t="s">
        <v>1746</v>
      </c>
      <c r="O568" t="s">
        <v>114</v>
      </c>
      <c r="P568">
        <v>17</v>
      </c>
      <c r="Q568" t="s">
        <v>46</v>
      </c>
    </row>
    <row r="569" spans="1:17">
      <c r="A569">
        <v>54</v>
      </c>
      <c r="B569" t="s">
        <v>137</v>
      </c>
      <c r="C569" t="s">
        <v>140</v>
      </c>
      <c r="D569" t="s">
        <v>31</v>
      </c>
      <c r="E569" s="6">
        <v>45362</v>
      </c>
      <c r="F569" t="s">
        <v>712</v>
      </c>
      <c r="G569" t="s">
        <v>1508</v>
      </c>
      <c r="H569" t="s">
        <v>40</v>
      </c>
      <c r="I569" s="4">
        <v>37034.26297512331</v>
      </c>
      <c r="J569">
        <v>347</v>
      </c>
      <c r="K569" t="s">
        <v>36</v>
      </c>
      <c r="L569" s="6">
        <v>45386</v>
      </c>
      <c r="M569" t="s">
        <v>51</v>
      </c>
      <c r="N569" t="s">
        <v>1746</v>
      </c>
      <c r="O569" t="s">
        <v>114</v>
      </c>
      <c r="P569">
        <v>24</v>
      </c>
      <c r="Q569" t="s">
        <v>47</v>
      </c>
    </row>
    <row r="570" spans="1:17">
      <c r="A570">
        <v>57</v>
      </c>
      <c r="B570" t="s">
        <v>137</v>
      </c>
      <c r="C570" t="s">
        <v>145</v>
      </c>
      <c r="D570" t="s">
        <v>31</v>
      </c>
      <c r="E570" s="6">
        <v>45365</v>
      </c>
      <c r="F570" t="s">
        <v>713</v>
      </c>
      <c r="G570" t="s">
        <v>1509</v>
      </c>
      <c r="H570" t="s">
        <v>40</v>
      </c>
      <c r="I570" s="4">
        <v>19210.03324586829</v>
      </c>
      <c r="J570">
        <v>338</v>
      </c>
      <c r="K570" t="s">
        <v>35</v>
      </c>
      <c r="L570" s="6">
        <v>45393</v>
      </c>
      <c r="M570" t="s">
        <v>52</v>
      </c>
      <c r="N570" t="s">
        <v>1747</v>
      </c>
      <c r="O570" t="s">
        <v>114</v>
      </c>
      <c r="P570">
        <v>28</v>
      </c>
      <c r="Q570" t="s">
        <v>47</v>
      </c>
    </row>
    <row r="571" spans="1:17">
      <c r="A571">
        <v>40</v>
      </c>
      <c r="B571" t="s">
        <v>137</v>
      </c>
      <c r="C571" t="s">
        <v>143</v>
      </c>
      <c r="D571" t="s">
        <v>30</v>
      </c>
      <c r="E571" s="6">
        <v>45376</v>
      </c>
      <c r="F571" t="s">
        <v>714</v>
      </c>
      <c r="G571" t="s">
        <v>1510</v>
      </c>
      <c r="H571" t="s">
        <v>42</v>
      </c>
      <c r="I571" s="4">
        <v>31734.89333559225</v>
      </c>
      <c r="J571">
        <v>399</v>
      </c>
      <c r="K571" t="s">
        <v>35</v>
      </c>
      <c r="L571" s="6">
        <v>45388</v>
      </c>
      <c r="M571" t="s">
        <v>52</v>
      </c>
      <c r="N571" t="s">
        <v>1746</v>
      </c>
      <c r="O571" t="s">
        <v>114</v>
      </c>
      <c r="P571">
        <v>12</v>
      </c>
      <c r="Q571" t="s">
        <v>46</v>
      </c>
    </row>
    <row r="572" spans="1:17">
      <c r="A572">
        <v>81</v>
      </c>
      <c r="B572" t="s">
        <v>137</v>
      </c>
      <c r="C572" t="s">
        <v>142</v>
      </c>
      <c r="D572" t="s">
        <v>27</v>
      </c>
      <c r="E572" s="6">
        <v>45355</v>
      </c>
      <c r="F572" t="s">
        <v>715</v>
      </c>
      <c r="G572" t="s">
        <v>1511</v>
      </c>
      <c r="H572" t="s">
        <v>39</v>
      </c>
      <c r="I572" s="4">
        <v>10639.20950796212</v>
      </c>
      <c r="J572">
        <v>341</v>
      </c>
      <c r="K572" t="s">
        <v>35</v>
      </c>
      <c r="L572" s="6">
        <v>45380</v>
      </c>
      <c r="M572" t="s">
        <v>53</v>
      </c>
      <c r="N572" t="s">
        <v>1748</v>
      </c>
      <c r="O572" t="s">
        <v>114</v>
      </c>
      <c r="P572">
        <v>25</v>
      </c>
      <c r="Q572" t="s">
        <v>48</v>
      </c>
    </row>
    <row r="573" spans="1:17">
      <c r="A573">
        <v>61</v>
      </c>
      <c r="B573" t="s">
        <v>138</v>
      </c>
      <c r="C573" t="s">
        <v>140</v>
      </c>
      <c r="D573" t="s">
        <v>32</v>
      </c>
      <c r="E573" s="6">
        <v>45376</v>
      </c>
      <c r="F573" t="s">
        <v>716</v>
      </c>
      <c r="G573" t="s">
        <v>1512</v>
      </c>
      <c r="H573" t="s">
        <v>40</v>
      </c>
      <c r="I573" s="4">
        <v>45180.27293882291</v>
      </c>
      <c r="J573">
        <v>343</v>
      </c>
      <c r="K573" t="s">
        <v>34</v>
      </c>
      <c r="L573" s="6">
        <v>45392</v>
      </c>
      <c r="M573" t="s">
        <v>50</v>
      </c>
      <c r="N573" t="s">
        <v>1747</v>
      </c>
      <c r="O573" t="s">
        <v>114</v>
      </c>
      <c r="P573">
        <v>16</v>
      </c>
      <c r="Q573" t="s">
        <v>47</v>
      </c>
    </row>
    <row r="574" spans="1:17">
      <c r="A574">
        <v>57</v>
      </c>
      <c r="B574" t="s">
        <v>137</v>
      </c>
      <c r="C574" t="s">
        <v>140</v>
      </c>
      <c r="D574" t="s">
        <v>28</v>
      </c>
      <c r="E574" s="6">
        <v>45376</v>
      </c>
      <c r="F574" t="s">
        <v>717</v>
      </c>
      <c r="G574" t="s">
        <v>1513</v>
      </c>
      <c r="H574" t="s">
        <v>38</v>
      </c>
      <c r="I574" s="4">
        <v>5703.303705720821</v>
      </c>
      <c r="J574">
        <v>486</v>
      </c>
      <c r="K574" t="s">
        <v>36</v>
      </c>
      <c r="L574" s="6">
        <v>45405</v>
      </c>
      <c r="M574" t="s">
        <v>51</v>
      </c>
      <c r="N574" t="s">
        <v>1747</v>
      </c>
      <c r="O574" t="s">
        <v>114</v>
      </c>
      <c r="P574">
        <v>29</v>
      </c>
      <c r="Q574" t="s">
        <v>47</v>
      </c>
    </row>
    <row r="575" spans="1:17">
      <c r="A575">
        <v>83</v>
      </c>
      <c r="B575" t="s">
        <v>138</v>
      </c>
      <c r="C575" t="s">
        <v>143</v>
      </c>
      <c r="D575" t="s">
        <v>27</v>
      </c>
      <c r="E575" s="6">
        <v>45374</v>
      </c>
      <c r="F575" t="s">
        <v>718</v>
      </c>
      <c r="G575" t="s">
        <v>1514</v>
      </c>
      <c r="H575" t="s">
        <v>40</v>
      </c>
      <c r="I575" s="4">
        <v>1050.509769856797</v>
      </c>
      <c r="J575">
        <v>207</v>
      </c>
      <c r="K575" t="s">
        <v>36</v>
      </c>
      <c r="L575" s="6">
        <v>45393</v>
      </c>
      <c r="M575" t="s">
        <v>52</v>
      </c>
      <c r="N575" t="s">
        <v>1747</v>
      </c>
      <c r="O575" t="s">
        <v>114</v>
      </c>
      <c r="P575">
        <v>19</v>
      </c>
      <c r="Q575" t="s">
        <v>48</v>
      </c>
    </row>
    <row r="576" spans="1:17">
      <c r="A576">
        <v>59</v>
      </c>
      <c r="B576" t="s">
        <v>137</v>
      </c>
      <c r="C576" t="s">
        <v>143</v>
      </c>
      <c r="D576" t="s">
        <v>30</v>
      </c>
      <c r="E576" s="6">
        <v>45379</v>
      </c>
      <c r="F576" t="s">
        <v>719</v>
      </c>
      <c r="G576" t="s">
        <v>1515</v>
      </c>
      <c r="H576" t="s">
        <v>41</v>
      </c>
      <c r="I576" s="4">
        <v>3508.994379963397</v>
      </c>
      <c r="J576">
        <v>135</v>
      </c>
      <c r="K576" t="s">
        <v>35</v>
      </c>
      <c r="L576" s="6">
        <v>45401</v>
      </c>
      <c r="M576" t="s">
        <v>51</v>
      </c>
      <c r="N576" t="s">
        <v>1748</v>
      </c>
      <c r="O576" t="s">
        <v>114</v>
      </c>
      <c r="P576">
        <v>22</v>
      </c>
      <c r="Q576" t="s">
        <v>47</v>
      </c>
    </row>
    <row r="577" spans="1:17">
      <c r="A577">
        <v>38</v>
      </c>
      <c r="B577" t="s">
        <v>138</v>
      </c>
      <c r="C577" t="s">
        <v>145</v>
      </c>
      <c r="D577" t="s">
        <v>28</v>
      </c>
      <c r="E577" s="6">
        <v>45357</v>
      </c>
      <c r="F577" t="s">
        <v>720</v>
      </c>
      <c r="G577" t="s">
        <v>1516</v>
      </c>
      <c r="H577" t="s">
        <v>39</v>
      </c>
      <c r="I577" s="4">
        <v>22999.34695342308</v>
      </c>
      <c r="J577">
        <v>326</v>
      </c>
      <c r="K577" t="s">
        <v>36</v>
      </c>
      <c r="L577" s="6">
        <v>45363</v>
      </c>
      <c r="M577" t="s">
        <v>50</v>
      </c>
      <c r="N577" t="s">
        <v>1747</v>
      </c>
      <c r="O577" t="s">
        <v>114</v>
      </c>
      <c r="P577">
        <v>6</v>
      </c>
      <c r="Q577" t="s">
        <v>46</v>
      </c>
    </row>
    <row r="578" spans="1:17">
      <c r="A578">
        <v>38</v>
      </c>
      <c r="B578" t="s">
        <v>137</v>
      </c>
      <c r="C578" t="s">
        <v>140</v>
      </c>
      <c r="D578" t="s">
        <v>28</v>
      </c>
      <c r="E578" s="6">
        <v>45370</v>
      </c>
      <c r="F578" t="s">
        <v>721</v>
      </c>
      <c r="G578" t="s">
        <v>1517</v>
      </c>
      <c r="H578" t="s">
        <v>41</v>
      </c>
      <c r="I578" s="4">
        <v>42565.47061064765</v>
      </c>
      <c r="J578">
        <v>439</v>
      </c>
      <c r="K578" t="s">
        <v>35</v>
      </c>
      <c r="L578" s="6">
        <v>45392</v>
      </c>
      <c r="M578" t="s">
        <v>54</v>
      </c>
      <c r="N578" t="s">
        <v>1746</v>
      </c>
      <c r="O578" t="s">
        <v>114</v>
      </c>
      <c r="P578">
        <v>22</v>
      </c>
      <c r="Q578" t="s">
        <v>46</v>
      </c>
    </row>
    <row r="579" spans="1:17">
      <c r="A579">
        <v>60</v>
      </c>
      <c r="B579" t="s">
        <v>137</v>
      </c>
      <c r="C579" t="s">
        <v>141</v>
      </c>
      <c r="D579" t="s">
        <v>27</v>
      </c>
      <c r="E579" s="6">
        <v>45360</v>
      </c>
      <c r="F579" t="s">
        <v>722</v>
      </c>
      <c r="G579" t="s">
        <v>1518</v>
      </c>
      <c r="H579" t="s">
        <v>42</v>
      </c>
      <c r="I579" s="4">
        <v>44853.08802725901</v>
      </c>
      <c r="J579">
        <v>244</v>
      </c>
      <c r="K579" t="s">
        <v>34</v>
      </c>
      <c r="L579" s="6">
        <v>45369</v>
      </c>
      <c r="M579" t="s">
        <v>50</v>
      </c>
      <c r="N579" t="s">
        <v>1748</v>
      </c>
      <c r="O579" t="s">
        <v>114</v>
      </c>
      <c r="P579">
        <v>9</v>
      </c>
      <c r="Q579" t="s">
        <v>47</v>
      </c>
    </row>
    <row r="580" spans="1:17">
      <c r="A580">
        <v>32</v>
      </c>
      <c r="B580" t="s">
        <v>137</v>
      </c>
      <c r="C580" t="s">
        <v>143</v>
      </c>
      <c r="D580" t="s">
        <v>29</v>
      </c>
      <c r="E580" s="6">
        <v>45356</v>
      </c>
      <c r="F580" t="s">
        <v>723</v>
      </c>
      <c r="G580" t="s">
        <v>1519</v>
      </c>
      <c r="H580" t="s">
        <v>41</v>
      </c>
      <c r="I580" s="4">
        <v>17821.59669072693</v>
      </c>
      <c r="J580">
        <v>131</v>
      </c>
      <c r="K580" t="s">
        <v>35</v>
      </c>
      <c r="L580" s="6">
        <v>45357</v>
      </c>
      <c r="M580" t="s">
        <v>51</v>
      </c>
      <c r="N580" t="s">
        <v>1746</v>
      </c>
      <c r="O580" t="s">
        <v>114</v>
      </c>
      <c r="P580">
        <v>1</v>
      </c>
      <c r="Q580" t="s">
        <v>45</v>
      </c>
    </row>
    <row r="581" spans="1:17">
      <c r="A581">
        <v>27</v>
      </c>
      <c r="B581" t="s">
        <v>138</v>
      </c>
      <c r="C581" t="s">
        <v>143</v>
      </c>
      <c r="D581" t="s">
        <v>27</v>
      </c>
      <c r="E581" s="6">
        <v>45382</v>
      </c>
      <c r="F581" t="s">
        <v>724</v>
      </c>
      <c r="G581" t="s">
        <v>1520</v>
      </c>
      <c r="H581" t="s">
        <v>39</v>
      </c>
      <c r="I581" s="4">
        <v>41514.76084397931</v>
      </c>
      <c r="J581">
        <v>112</v>
      </c>
      <c r="K581" t="s">
        <v>34</v>
      </c>
      <c r="L581" s="6">
        <v>45392</v>
      </c>
      <c r="M581" t="s">
        <v>54</v>
      </c>
      <c r="N581" t="s">
        <v>1746</v>
      </c>
      <c r="O581" t="s">
        <v>114</v>
      </c>
      <c r="P581">
        <v>10</v>
      </c>
      <c r="Q581" t="s">
        <v>45</v>
      </c>
    </row>
    <row r="582" spans="1:17">
      <c r="A582">
        <v>19</v>
      </c>
      <c r="B582" t="s">
        <v>138</v>
      </c>
      <c r="C582" t="s">
        <v>146</v>
      </c>
      <c r="D582" t="s">
        <v>30</v>
      </c>
      <c r="E582" s="6">
        <v>45352</v>
      </c>
      <c r="F582" t="s">
        <v>725</v>
      </c>
      <c r="G582" t="s">
        <v>1521</v>
      </c>
      <c r="H582" t="s">
        <v>41</v>
      </c>
      <c r="I582" s="4">
        <v>20445.47830746417</v>
      </c>
      <c r="J582">
        <v>279</v>
      </c>
      <c r="K582" t="s">
        <v>34</v>
      </c>
      <c r="L582" s="6">
        <v>45363</v>
      </c>
      <c r="M582" t="s">
        <v>51</v>
      </c>
      <c r="N582" t="s">
        <v>1746</v>
      </c>
      <c r="O582" t="s">
        <v>114</v>
      </c>
      <c r="P582">
        <v>11</v>
      </c>
      <c r="Q582" t="s">
        <v>45</v>
      </c>
    </row>
    <row r="583" spans="1:17">
      <c r="A583">
        <v>80</v>
      </c>
      <c r="B583" t="s">
        <v>138</v>
      </c>
      <c r="C583" t="s">
        <v>142</v>
      </c>
      <c r="D583" t="s">
        <v>31</v>
      </c>
      <c r="E583" s="6">
        <v>45353</v>
      </c>
      <c r="F583" t="s">
        <v>726</v>
      </c>
      <c r="G583" t="s">
        <v>1522</v>
      </c>
      <c r="H583" t="s">
        <v>38</v>
      </c>
      <c r="I583" s="4">
        <v>10481.84109590047</v>
      </c>
      <c r="J583">
        <v>284</v>
      </c>
      <c r="K583" t="s">
        <v>35</v>
      </c>
      <c r="L583" s="6">
        <v>45366</v>
      </c>
      <c r="M583" t="s">
        <v>53</v>
      </c>
      <c r="N583" t="s">
        <v>1747</v>
      </c>
      <c r="O583" t="s">
        <v>114</v>
      </c>
      <c r="P583">
        <v>13</v>
      </c>
      <c r="Q583" t="s">
        <v>48</v>
      </c>
    </row>
    <row r="584" spans="1:17">
      <c r="A584">
        <v>47</v>
      </c>
      <c r="B584" t="s">
        <v>137</v>
      </c>
      <c r="C584" t="s">
        <v>145</v>
      </c>
      <c r="D584" t="s">
        <v>31</v>
      </c>
      <c r="E584" s="6">
        <v>45354</v>
      </c>
      <c r="F584" t="s">
        <v>727</v>
      </c>
      <c r="G584" t="s">
        <v>1523</v>
      </c>
      <c r="H584" t="s">
        <v>38</v>
      </c>
      <c r="I584" s="4">
        <v>8566.348994196605</v>
      </c>
      <c r="J584">
        <v>255</v>
      </c>
      <c r="K584" t="s">
        <v>35</v>
      </c>
      <c r="L584" s="6">
        <v>45371</v>
      </c>
      <c r="M584" t="s">
        <v>54</v>
      </c>
      <c r="N584" t="s">
        <v>1746</v>
      </c>
      <c r="O584" t="s">
        <v>114</v>
      </c>
      <c r="P584">
        <v>17</v>
      </c>
      <c r="Q584" t="s">
        <v>46</v>
      </c>
    </row>
    <row r="585" spans="1:17">
      <c r="A585">
        <v>47</v>
      </c>
      <c r="B585" t="s">
        <v>138</v>
      </c>
      <c r="C585" t="s">
        <v>146</v>
      </c>
      <c r="D585" t="s">
        <v>32</v>
      </c>
      <c r="E585" s="6">
        <v>45352</v>
      </c>
      <c r="F585" t="s">
        <v>728</v>
      </c>
      <c r="G585" t="s">
        <v>1524</v>
      </c>
      <c r="H585" t="s">
        <v>38</v>
      </c>
      <c r="I585" s="4">
        <v>29712.71075156085</v>
      </c>
      <c r="J585">
        <v>234</v>
      </c>
      <c r="K585" t="s">
        <v>34</v>
      </c>
      <c r="L585" s="6">
        <v>45354</v>
      </c>
      <c r="M585" t="s">
        <v>52</v>
      </c>
      <c r="N585" t="s">
        <v>1746</v>
      </c>
      <c r="O585" t="s">
        <v>114</v>
      </c>
      <c r="P585">
        <v>2</v>
      </c>
      <c r="Q585" t="s">
        <v>46</v>
      </c>
    </row>
    <row r="586" spans="1:17">
      <c r="A586">
        <v>43</v>
      </c>
      <c r="B586" t="s">
        <v>138</v>
      </c>
      <c r="C586" t="s">
        <v>142</v>
      </c>
      <c r="D586" t="s">
        <v>31</v>
      </c>
      <c r="E586" s="6">
        <v>45358</v>
      </c>
      <c r="F586" t="s">
        <v>729</v>
      </c>
      <c r="G586" t="s">
        <v>1525</v>
      </c>
      <c r="H586" t="s">
        <v>39</v>
      </c>
      <c r="I586" s="4">
        <v>35787.13466562945</v>
      </c>
      <c r="J586">
        <v>193</v>
      </c>
      <c r="K586" t="s">
        <v>34</v>
      </c>
      <c r="L586" s="6">
        <v>45370</v>
      </c>
      <c r="M586" t="s">
        <v>54</v>
      </c>
      <c r="N586" t="s">
        <v>1747</v>
      </c>
      <c r="O586" t="s">
        <v>114</v>
      </c>
      <c r="P586">
        <v>12</v>
      </c>
      <c r="Q586" t="s">
        <v>46</v>
      </c>
    </row>
    <row r="587" spans="1:17">
      <c r="A587">
        <v>47</v>
      </c>
      <c r="B587" t="s">
        <v>137</v>
      </c>
      <c r="C587" t="s">
        <v>140</v>
      </c>
      <c r="D587" t="s">
        <v>29</v>
      </c>
      <c r="E587" s="6">
        <v>45370</v>
      </c>
      <c r="F587" t="s">
        <v>730</v>
      </c>
      <c r="G587" t="s">
        <v>1526</v>
      </c>
      <c r="H587" t="s">
        <v>41</v>
      </c>
      <c r="I587" s="4">
        <v>23844.81043828143</v>
      </c>
      <c r="J587">
        <v>185</v>
      </c>
      <c r="K587" t="s">
        <v>35</v>
      </c>
      <c r="L587" s="6">
        <v>45371</v>
      </c>
      <c r="M587" t="s">
        <v>50</v>
      </c>
      <c r="N587" t="s">
        <v>1747</v>
      </c>
      <c r="O587" t="s">
        <v>114</v>
      </c>
      <c r="P587">
        <v>1</v>
      </c>
      <c r="Q587" t="s">
        <v>46</v>
      </c>
    </row>
    <row r="588" spans="1:17">
      <c r="A588">
        <v>56</v>
      </c>
      <c r="B588" t="s">
        <v>138</v>
      </c>
      <c r="C588" t="s">
        <v>145</v>
      </c>
      <c r="D588" t="s">
        <v>27</v>
      </c>
      <c r="E588" s="6">
        <v>45355</v>
      </c>
      <c r="F588" t="s">
        <v>731</v>
      </c>
      <c r="G588" t="s">
        <v>1527</v>
      </c>
      <c r="H588" t="s">
        <v>42</v>
      </c>
      <c r="I588" s="4">
        <v>21410.98796905456</v>
      </c>
      <c r="J588">
        <v>371</v>
      </c>
      <c r="K588" t="s">
        <v>34</v>
      </c>
      <c r="L588" s="6">
        <v>45377</v>
      </c>
      <c r="M588" t="s">
        <v>51</v>
      </c>
      <c r="N588" t="s">
        <v>1748</v>
      </c>
      <c r="O588" t="s">
        <v>114</v>
      </c>
      <c r="P588">
        <v>22</v>
      </c>
      <c r="Q588" t="s">
        <v>47</v>
      </c>
    </row>
    <row r="589" spans="1:17">
      <c r="A589">
        <v>66</v>
      </c>
      <c r="B589" t="s">
        <v>137</v>
      </c>
      <c r="C589" t="s">
        <v>142</v>
      </c>
      <c r="D589" t="s">
        <v>27</v>
      </c>
      <c r="E589" s="6">
        <v>45367</v>
      </c>
      <c r="F589" t="s">
        <v>732</v>
      </c>
      <c r="G589" t="s">
        <v>1528</v>
      </c>
      <c r="H589" t="s">
        <v>39</v>
      </c>
      <c r="I589" s="4">
        <v>24559.32966854982</v>
      </c>
      <c r="J589">
        <v>219</v>
      </c>
      <c r="K589" t="s">
        <v>36</v>
      </c>
      <c r="L589" s="6">
        <v>45374</v>
      </c>
      <c r="M589" t="s">
        <v>51</v>
      </c>
      <c r="N589" t="s">
        <v>1748</v>
      </c>
      <c r="O589" t="s">
        <v>114</v>
      </c>
      <c r="P589">
        <v>7</v>
      </c>
      <c r="Q589" t="s">
        <v>48</v>
      </c>
    </row>
    <row r="590" spans="1:17">
      <c r="A590">
        <v>75</v>
      </c>
      <c r="B590" t="s">
        <v>138</v>
      </c>
      <c r="C590" t="s">
        <v>141</v>
      </c>
      <c r="D590" t="s">
        <v>29</v>
      </c>
      <c r="E590" s="6">
        <v>45359</v>
      </c>
      <c r="F590" t="s">
        <v>733</v>
      </c>
      <c r="G590" t="s">
        <v>1529</v>
      </c>
      <c r="H590" t="s">
        <v>39</v>
      </c>
      <c r="I590" s="4">
        <v>37832.7122684435</v>
      </c>
      <c r="J590">
        <v>260</v>
      </c>
      <c r="K590" t="s">
        <v>34</v>
      </c>
      <c r="L590" s="6">
        <v>45364</v>
      </c>
      <c r="M590" t="s">
        <v>50</v>
      </c>
      <c r="N590" t="s">
        <v>1748</v>
      </c>
      <c r="O590" t="s">
        <v>114</v>
      </c>
      <c r="P590">
        <v>5</v>
      </c>
      <c r="Q590" t="s">
        <v>48</v>
      </c>
    </row>
    <row r="591" spans="1:17">
      <c r="A591">
        <v>55</v>
      </c>
      <c r="B591" t="s">
        <v>138</v>
      </c>
      <c r="C591" t="s">
        <v>144</v>
      </c>
      <c r="D591" t="s">
        <v>32</v>
      </c>
      <c r="E591" s="6">
        <v>45359</v>
      </c>
      <c r="F591" t="s">
        <v>734</v>
      </c>
      <c r="G591" t="s">
        <v>1530</v>
      </c>
      <c r="H591" t="s">
        <v>39</v>
      </c>
      <c r="I591" s="4">
        <v>23465.42125059609</v>
      </c>
      <c r="J591">
        <v>135</v>
      </c>
      <c r="K591" t="s">
        <v>35</v>
      </c>
      <c r="L591" s="6">
        <v>45364</v>
      </c>
      <c r="M591" t="s">
        <v>53</v>
      </c>
      <c r="N591" t="s">
        <v>1747</v>
      </c>
      <c r="O591" t="s">
        <v>114</v>
      </c>
      <c r="P591">
        <v>5</v>
      </c>
      <c r="Q591" t="s">
        <v>47</v>
      </c>
    </row>
    <row r="592" spans="1:17">
      <c r="A592">
        <v>28</v>
      </c>
      <c r="B592" t="s">
        <v>137</v>
      </c>
      <c r="C592" t="s">
        <v>142</v>
      </c>
      <c r="D592" t="s">
        <v>28</v>
      </c>
      <c r="E592" s="6">
        <v>45381</v>
      </c>
      <c r="F592" t="s">
        <v>735</v>
      </c>
      <c r="G592" t="s">
        <v>1473</v>
      </c>
      <c r="H592" t="s">
        <v>40</v>
      </c>
      <c r="I592" s="4">
        <v>47585.70812356024</v>
      </c>
      <c r="J592">
        <v>259</v>
      </c>
      <c r="K592" t="s">
        <v>35</v>
      </c>
      <c r="L592" s="6">
        <v>45385</v>
      </c>
      <c r="M592" t="s">
        <v>53</v>
      </c>
      <c r="N592" t="s">
        <v>1746</v>
      </c>
      <c r="O592" t="s">
        <v>114</v>
      </c>
      <c r="P592">
        <v>4</v>
      </c>
      <c r="Q592" t="s">
        <v>45</v>
      </c>
    </row>
    <row r="593" spans="1:17">
      <c r="A593">
        <v>21</v>
      </c>
      <c r="B593" t="s">
        <v>138</v>
      </c>
      <c r="C593" t="s">
        <v>146</v>
      </c>
      <c r="D593" t="s">
        <v>27</v>
      </c>
      <c r="E593" s="6">
        <v>45366</v>
      </c>
      <c r="F593" t="s">
        <v>736</v>
      </c>
      <c r="G593" t="s">
        <v>1531</v>
      </c>
      <c r="H593" t="s">
        <v>40</v>
      </c>
      <c r="I593" s="4">
        <v>29773.61665062966</v>
      </c>
      <c r="J593">
        <v>307</v>
      </c>
      <c r="K593" t="s">
        <v>36</v>
      </c>
      <c r="L593" s="6">
        <v>45393</v>
      </c>
      <c r="M593" t="s">
        <v>51</v>
      </c>
      <c r="N593" t="s">
        <v>1748</v>
      </c>
      <c r="O593" t="s">
        <v>114</v>
      </c>
      <c r="P593">
        <v>27</v>
      </c>
      <c r="Q593" t="s">
        <v>45</v>
      </c>
    </row>
    <row r="594" spans="1:17">
      <c r="A594">
        <v>73</v>
      </c>
      <c r="B594" t="s">
        <v>138</v>
      </c>
      <c r="C594" t="s">
        <v>143</v>
      </c>
      <c r="D594" t="s">
        <v>32</v>
      </c>
      <c r="E594" s="6">
        <v>45354</v>
      </c>
      <c r="F594" t="s">
        <v>737</v>
      </c>
      <c r="G594" t="s">
        <v>1532</v>
      </c>
      <c r="H594" t="s">
        <v>40</v>
      </c>
      <c r="I594" s="4">
        <v>34855.06699060738</v>
      </c>
      <c r="J594">
        <v>464</v>
      </c>
      <c r="K594" t="s">
        <v>34</v>
      </c>
      <c r="L594" s="6">
        <v>45360</v>
      </c>
      <c r="M594" t="s">
        <v>54</v>
      </c>
      <c r="N594" t="s">
        <v>1748</v>
      </c>
      <c r="O594" t="s">
        <v>114</v>
      </c>
      <c r="P594">
        <v>6</v>
      </c>
      <c r="Q594" t="s">
        <v>48</v>
      </c>
    </row>
    <row r="595" spans="1:17">
      <c r="A595">
        <v>42</v>
      </c>
      <c r="B595" t="s">
        <v>138</v>
      </c>
      <c r="C595" t="s">
        <v>146</v>
      </c>
      <c r="D595" t="s">
        <v>32</v>
      </c>
      <c r="E595" s="6">
        <v>45378</v>
      </c>
      <c r="F595" t="s">
        <v>738</v>
      </c>
      <c r="G595" t="s">
        <v>1533</v>
      </c>
      <c r="H595" t="s">
        <v>42</v>
      </c>
      <c r="I595" s="4">
        <v>50122.81582862521</v>
      </c>
      <c r="J595">
        <v>273</v>
      </c>
      <c r="K595" t="s">
        <v>36</v>
      </c>
      <c r="L595" s="6">
        <v>45400</v>
      </c>
      <c r="M595" t="s">
        <v>51</v>
      </c>
      <c r="N595" t="s">
        <v>1747</v>
      </c>
      <c r="O595" t="s">
        <v>114</v>
      </c>
      <c r="P595">
        <v>22</v>
      </c>
      <c r="Q595" t="s">
        <v>46</v>
      </c>
    </row>
    <row r="596" spans="1:17">
      <c r="A596">
        <v>65</v>
      </c>
      <c r="B596" t="s">
        <v>137</v>
      </c>
      <c r="C596" t="s">
        <v>146</v>
      </c>
      <c r="D596" t="s">
        <v>32</v>
      </c>
      <c r="E596" s="6">
        <v>45372</v>
      </c>
      <c r="F596" t="s">
        <v>739</v>
      </c>
      <c r="G596" t="s">
        <v>1534</v>
      </c>
      <c r="H596" t="s">
        <v>42</v>
      </c>
      <c r="I596" s="4">
        <v>35865.59234419702</v>
      </c>
      <c r="J596">
        <v>194</v>
      </c>
      <c r="K596" t="s">
        <v>35</v>
      </c>
      <c r="L596" s="6">
        <v>45376</v>
      </c>
      <c r="M596" t="s">
        <v>51</v>
      </c>
      <c r="N596" t="s">
        <v>1746</v>
      </c>
      <c r="O596" t="s">
        <v>114</v>
      </c>
      <c r="P596">
        <v>4</v>
      </c>
      <c r="Q596" t="s">
        <v>47</v>
      </c>
    </row>
    <row r="597" spans="1:17">
      <c r="A597">
        <v>68</v>
      </c>
      <c r="B597" t="s">
        <v>137</v>
      </c>
      <c r="C597" t="s">
        <v>142</v>
      </c>
      <c r="D597" t="s">
        <v>32</v>
      </c>
      <c r="E597" s="6">
        <v>45368</v>
      </c>
      <c r="F597" t="s">
        <v>740</v>
      </c>
      <c r="G597" t="s">
        <v>1535</v>
      </c>
      <c r="H597" t="s">
        <v>42</v>
      </c>
      <c r="I597" s="4">
        <v>42077.18983598308</v>
      </c>
      <c r="J597">
        <v>354</v>
      </c>
      <c r="K597" t="s">
        <v>35</v>
      </c>
      <c r="L597" s="6">
        <v>45369</v>
      </c>
      <c r="M597" t="s">
        <v>53</v>
      </c>
      <c r="N597" t="s">
        <v>1746</v>
      </c>
      <c r="O597" t="s">
        <v>114</v>
      </c>
      <c r="P597">
        <v>1</v>
      </c>
      <c r="Q597" t="s">
        <v>48</v>
      </c>
    </row>
    <row r="598" spans="1:17">
      <c r="A598">
        <v>53</v>
      </c>
      <c r="B598" t="s">
        <v>138</v>
      </c>
      <c r="C598" t="s">
        <v>144</v>
      </c>
      <c r="D598" t="s">
        <v>29</v>
      </c>
      <c r="E598" s="6">
        <v>45381</v>
      </c>
      <c r="F598" t="s">
        <v>741</v>
      </c>
      <c r="G598" t="s">
        <v>994</v>
      </c>
      <c r="H598" t="s">
        <v>41</v>
      </c>
      <c r="I598" s="4">
        <v>10344.4305302442</v>
      </c>
      <c r="J598">
        <v>383</v>
      </c>
      <c r="K598" t="s">
        <v>36</v>
      </c>
      <c r="L598" s="6">
        <v>45409</v>
      </c>
      <c r="M598" t="s">
        <v>54</v>
      </c>
      <c r="N598" t="s">
        <v>1746</v>
      </c>
      <c r="O598" t="s">
        <v>114</v>
      </c>
      <c r="P598">
        <v>28</v>
      </c>
      <c r="Q598" t="s">
        <v>47</v>
      </c>
    </row>
    <row r="599" spans="1:17">
      <c r="A599">
        <v>30</v>
      </c>
      <c r="B599" t="s">
        <v>137</v>
      </c>
      <c r="C599" t="s">
        <v>139</v>
      </c>
      <c r="D599" t="s">
        <v>32</v>
      </c>
      <c r="E599" s="6">
        <v>45353</v>
      </c>
      <c r="F599" t="s">
        <v>742</v>
      </c>
      <c r="G599" t="s">
        <v>1536</v>
      </c>
      <c r="H599" t="s">
        <v>38</v>
      </c>
      <c r="I599" s="4">
        <v>9681.265229151826</v>
      </c>
      <c r="J599">
        <v>498</v>
      </c>
      <c r="K599" t="s">
        <v>35</v>
      </c>
      <c r="L599" s="6">
        <v>45380</v>
      </c>
      <c r="M599" t="s">
        <v>51</v>
      </c>
      <c r="N599" t="s">
        <v>1747</v>
      </c>
      <c r="O599" t="s">
        <v>114</v>
      </c>
      <c r="P599">
        <v>27</v>
      </c>
      <c r="Q599" t="s">
        <v>45</v>
      </c>
    </row>
    <row r="600" spans="1:17">
      <c r="A600">
        <v>30</v>
      </c>
      <c r="B600" t="s">
        <v>138</v>
      </c>
      <c r="C600" t="s">
        <v>143</v>
      </c>
      <c r="D600" t="s">
        <v>28</v>
      </c>
      <c r="E600" s="6">
        <v>45367</v>
      </c>
      <c r="F600" t="s">
        <v>743</v>
      </c>
      <c r="G600" t="s">
        <v>1537</v>
      </c>
      <c r="H600" t="s">
        <v>41</v>
      </c>
      <c r="I600" s="4">
        <v>6019.021389110886</v>
      </c>
      <c r="J600">
        <v>238</v>
      </c>
      <c r="K600" t="s">
        <v>34</v>
      </c>
      <c r="L600" s="6">
        <v>45371</v>
      </c>
      <c r="M600" t="s">
        <v>54</v>
      </c>
      <c r="N600" t="s">
        <v>1747</v>
      </c>
      <c r="O600" t="s">
        <v>114</v>
      </c>
      <c r="P600">
        <v>4</v>
      </c>
      <c r="Q600" t="s">
        <v>45</v>
      </c>
    </row>
    <row r="601" spans="1:17">
      <c r="A601">
        <v>79</v>
      </c>
      <c r="B601" t="s">
        <v>138</v>
      </c>
      <c r="C601" t="s">
        <v>145</v>
      </c>
      <c r="D601" t="s">
        <v>27</v>
      </c>
      <c r="E601" s="6">
        <v>45362</v>
      </c>
      <c r="F601" t="s">
        <v>744</v>
      </c>
      <c r="G601" t="s">
        <v>1538</v>
      </c>
      <c r="H601" t="s">
        <v>38</v>
      </c>
      <c r="I601" s="4">
        <v>5658.797823196233</v>
      </c>
      <c r="J601">
        <v>141</v>
      </c>
      <c r="K601" t="s">
        <v>34</v>
      </c>
      <c r="L601" s="6">
        <v>45369</v>
      </c>
      <c r="M601" t="s">
        <v>54</v>
      </c>
      <c r="N601" t="s">
        <v>1748</v>
      </c>
      <c r="O601" t="s">
        <v>114</v>
      </c>
      <c r="P601">
        <v>7</v>
      </c>
      <c r="Q601" t="s">
        <v>48</v>
      </c>
    </row>
    <row r="602" spans="1:17">
      <c r="A602">
        <v>33</v>
      </c>
      <c r="B602" t="s">
        <v>137</v>
      </c>
      <c r="C602" t="s">
        <v>143</v>
      </c>
      <c r="D602" t="s">
        <v>31</v>
      </c>
      <c r="E602" s="6">
        <v>45370</v>
      </c>
      <c r="F602" t="s">
        <v>745</v>
      </c>
      <c r="G602" t="s">
        <v>1539</v>
      </c>
      <c r="H602" t="s">
        <v>39</v>
      </c>
      <c r="I602" s="4">
        <v>23365.3554107354</v>
      </c>
      <c r="J602">
        <v>234</v>
      </c>
      <c r="K602" t="s">
        <v>34</v>
      </c>
      <c r="L602" s="6">
        <v>45381</v>
      </c>
      <c r="M602" t="s">
        <v>54</v>
      </c>
      <c r="N602" t="s">
        <v>1748</v>
      </c>
      <c r="O602" t="s">
        <v>114</v>
      </c>
      <c r="P602">
        <v>11</v>
      </c>
      <c r="Q602" t="s">
        <v>45</v>
      </c>
    </row>
    <row r="603" spans="1:17">
      <c r="A603">
        <v>56</v>
      </c>
      <c r="B603" t="s">
        <v>137</v>
      </c>
      <c r="C603" t="s">
        <v>146</v>
      </c>
      <c r="D603" t="s">
        <v>27</v>
      </c>
      <c r="E603" s="6">
        <v>45373</v>
      </c>
      <c r="F603" t="s">
        <v>746</v>
      </c>
      <c r="G603" t="s">
        <v>1540</v>
      </c>
      <c r="H603" t="s">
        <v>39</v>
      </c>
      <c r="I603" s="4">
        <v>9306.590004644801</v>
      </c>
      <c r="J603">
        <v>253</v>
      </c>
      <c r="K603" t="s">
        <v>34</v>
      </c>
      <c r="L603" s="6">
        <v>45400</v>
      </c>
      <c r="M603" t="s">
        <v>52</v>
      </c>
      <c r="N603" t="s">
        <v>1747</v>
      </c>
      <c r="O603" t="s">
        <v>114</v>
      </c>
      <c r="P603">
        <v>27</v>
      </c>
      <c r="Q603" t="s">
        <v>47</v>
      </c>
    </row>
    <row r="604" spans="1:17">
      <c r="A604">
        <v>36</v>
      </c>
      <c r="B604" t="s">
        <v>138</v>
      </c>
      <c r="C604" t="s">
        <v>141</v>
      </c>
      <c r="D604" t="s">
        <v>31</v>
      </c>
      <c r="E604" s="6">
        <v>45374</v>
      </c>
      <c r="F604" t="s">
        <v>747</v>
      </c>
      <c r="G604" t="s">
        <v>1541</v>
      </c>
      <c r="H604" t="s">
        <v>38</v>
      </c>
      <c r="I604" s="4">
        <v>6096.659021123588</v>
      </c>
      <c r="J604">
        <v>237</v>
      </c>
      <c r="K604" t="s">
        <v>35</v>
      </c>
      <c r="L604" s="6">
        <v>45391</v>
      </c>
      <c r="M604" t="s">
        <v>50</v>
      </c>
      <c r="N604" t="s">
        <v>1747</v>
      </c>
      <c r="O604" t="s">
        <v>114</v>
      </c>
      <c r="P604">
        <v>17</v>
      </c>
      <c r="Q604" t="s">
        <v>46</v>
      </c>
    </row>
    <row r="605" spans="1:17">
      <c r="A605">
        <v>48</v>
      </c>
      <c r="B605" t="s">
        <v>137</v>
      </c>
      <c r="C605" t="s">
        <v>144</v>
      </c>
      <c r="D605" t="s">
        <v>31</v>
      </c>
      <c r="E605" s="6">
        <v>45365</v>
      </c>
      <c r="F605" t="s">
        <v>748</v>
      </c>
      <c r="G605" t="s">
        <v>1542</v>
      </c>
      <c r="H605" t="s">
        <v>41</v>
      </c>
      <c r="I605" s="4">
        <v>42585.03225750541</v>
      </c>
      <c r="J605">
        <v>214</v>
      </c>
      <c r="K605" t="s">
        <v>35</v>
      </c>
      <c r="L605" s="6">
        <v>45370</v>
      </c>
      <c r="M605" t="s">
        <v>54</v>
      </c>
      <c r="N605" t="s">
        <v>1746</v>
      </c>
      <c r="O605" t="s">
        <v>114</v>
      </c>
      <c r="P605">
        <v>5</v>
      </c>
      <c r="Q605" t="s">
        <v>46</v>
      </c>
    </row>
    <row r="606" spans="1:17">
      <c r="A606">
        <v>66</v>
      </c>
      <c r="B606" t="s">
        <v>137</v>
      </c>
      <c r="C606" t="s">
        <v>141</v>
      </c>
      <c r="D606" t="s">
        <v>31</v>
      </c>
      <c r="E606" s="6">
        <v>45358</v>
      </c>
      <c r="F606" t="s">
        <v>749</v>
      </c>
      <c r="G606" t="s">
        <v>1543</v>
      </c>
      <c r="H606" t="s">
        <v>39</v>
      </c>
      <c r="I606" s="4">
        <v>42057.17637946537</v>
      </c>
      <c r="J606">
        <v>490</v>
      </c>
      <c r="K606" t="s">
        <v>34</v>
      </c>
      <c r="L606" s="6">
        <v>45362</v>
      </c>
      <c r="M606" t="s">
        <v>51</v>
      </c>
      <c r="N606" t="s">
        <v>1748</v>
      </c>
      <c r="O606" t="s">
        <v>114</v>
      </c>
      <c r="P606">
        <v>4</v>
      </c>
      <c r="Q606" t="s">
        <v>48</v>
      </c>
    </row>
    <row r="607" spans="1:17">
      <c r="A607">
        <v>59</v>
      </c>
      <c r="B607" t="s">
        <v>137</v>
      </c>
      <c r="C607" t="s">
        <v>140</v>
      </c>
      <c r="D607" t="s">
        <v>28</v>
      </c>
      <c r="E607" s="6">
        <v>45381</v>
      </c>
      <c r="F607" t="s">
        <v>750</v>
      </c>
      <c r="G607" t="s">
        <v>1544</v>
      </c>
      <c r="H607" t="s">
        <v>39</v>
      </c>
      <c r="I607" s="4">
        <v>49065.8695978014</v>
      </c>
      <c r="J607">
        <v>310</v>
      </c>
      <c r="K607" t="s">
        <v>35</v>
      </c>
      <c r="L607" s="6">
        <v>45408</v>
      </c>
      <c r="M607" t="s">
        <v>53</v>
      </c>
      <c r="N607" t="s">
        <v>1746</v>
      </c>
      <c r="O607" t="s">
        <v>114</v>
      </c>
      <c r="P607">
        <v>27</v>
      </c>
      <c r="Q607" t="s">
        <v>47</v>
      </c>
    </row>
    <row r="608" spans="1:17">
      <c r="A608">
        <v>21</v>
      </c>
      <c r="B608" t="s">
        <v>137</v>
      </c>
      <c r="C608" t="s">
        <v>141</v>
      </c>
      <c r="D608" t="s">
        <v>28</v>
      </c>
      <c r="E608" s="6">
        <v>45374</v>
      </c>
      <c r="F608" t="s">
        <v>751</v>
      </c>
      <c r="G608" t="s">
        <v>1545</v>
      </c>
      <c r="H608" t="s">
        <v>40</v>
      </c>
      <c r="I608" s="4">
        <v>49960.55939881888</v>
      </c>
      <c r="J608">
        <v>158</v>
      </c>
      <c r="K608" t="s">
        <v>35</v>
      </c>
      <c r="L608" s="6">
        <v>45382</v>
      </c>
      <c r="M608" t="s">
        <v>50</v>
      </c>
      <c r="N608" t="s">
        <v>1746</v>
      </c>
      <c r="O608" t="s">
        <v>114</v>
      </c>
      <c r="P608">
        <v>8</v>
      </c>
      <c r="Q608" t="s">
        <v>45</v>
      </c>
    </row>
    <row r="609" spans="1:17">
      <c r="A609">
        <v>23</v>
      </c>
      <c r="B609" t="s">
        <v>137</v>
      </c>
      <c r="C609" t="s">
        <v>144</v>
      </c>
      <c r="D609" t="s">
        <v>32</v>
      </c>
      <c r="E609" s="6">
        <v>45366</v>
      </c>
      <c r="F609" t="s">
        <v>752</v>
      </c>
      <c r="G609" t="s">
        <v>1546</v>
      </c>
      <c r="H609" t="s">
        <v>38</v>
      </c>
      <c r="I609" s="4">
        <v>34390.56983668106</v>
      </c>
      <c r="J609">
        <v>365</v>
      </c>
      <c r="K609" t="s">
        <v>35</v>
      </c>
      <c r="L609" s="6">
        <v>45387</v>
      </c>
      <c r="M609" t="s">
        <v>50</v>
      </c>
      <c r="N609" t="s">
        <v>1747</v>
      </c>
      <c r="O609" t="s">
        <v>114</v>
      </c>
      <c r="P609">
        <v>21</v>
      </c>
      <c r="Q609" t="s">
        <v>45</v>
      </c>
    </row>
    <row r="610" spans="1:17">
      <c r="A610">
        <v>31</v>
      </c>
      <c r="B610" t="s">
        <v>138</v>
      </c>
      <c r="C610" t="s">
        <v>143</v>
      </c>
      <c r="D610" t="s">
        <v>27</v>
      </c>
      <c r="E610" s="6">
        <v>45367</v>
      </c>
      <c r="F610" t="s">
        <v>753</v>
      </c>
      <c r="G610" t="s">
        <v>1547</v>
      </c>
      <c r="H610" t="s">
        <v>41</v>
      </c>
      <c r="I610" s="4">
        <v>32250.28884459136</v>
      </c>
      <c r="J610">
        <v>133</v>
      </c>
      <c r="K610" t="s">
        <v>34</v>
      </c>
      <c r="L610" s="6">
        <v>45382</v>
      </c>
      <c r="M610" t="s">
        <v>53</v>
      </c>
      <c r="N610" t="s">
        <v>1747</v>
      </c>
      <c r="O610" t="s">
        <v>114</v>
      </c>
      <c r="P610">
        <v>15</v>
      </c>
      <c r="Q610" t="s">
        <v>45</v>
      </c>
    </row>
    <row r="611" spans="1:17">
      <c r="A611">
        <v>57</v>
      </c>
      <c r="B611" t="s">
        <v>137</v>
      </c>
      <c r="C611" t="s">
        <v>143</v>
      </c>
      <c r="D611" t="s">
        <v>30</v>
      </c>
      <c r="E611" s="6">
        <v>45375</v>
      </c>
      <c r="F611" t="s">
        <v>754</v>
      </c>
      <c r="G611" t="s">
        <v>1548</v>
      </c>
      <c r="H611" t="s">
        <v>42</v>
      </c>
      <c r="I611" s="4">
        <v>41955.28426686782</v>
      </c>
      <c r="J611">
        <v>158</v>
      </c>
      <c r="K611" t="s">
        <v>34</v>
      </c>
      <c r="L611" s="6">
        <v>45383</v>
      </c>
      <c r="M611" t="s">
        <v>51</v>
      </c>
      <c r="N611" t="s">
        <v>1746</v>
      </c>
      <c r="O611" t="s">
        <v>114</v>
      </c>
      <c r="P611">
        <v>8</v>
      </c>
      <c r="Q611" t="s">
        <v>47</v>
      </c>
    </row>
    <row r="612" spans="1:17">
      <c r="A612">
        <v>72</v>
      </c>
      <c r="B612" t="s">
        <v>138</v>
      </c>
      <c r="C612" t="s">
        <v>139</v>
      </c>
      <c r="D612" t="s">
        <v>30</v>
      </c>
      <c r="E612" s="6">
        <v>45367</v>
      </c>
      <c r="F612" t="s">
        <v>755</v>
      </c>
      <c r="G612" t="s">
        <v>1549</v>
      </c>
      <c r="H612" t="s">
        <v>41</v>
      </c>
      <c r="I612" s="4">
        <v>4023.072411292218</v>
      </c>
      <c r="J612">
        <v>316</v>
      </c>
      <c r="K612" t="s">
        <v>36</v>
      </c>
      <c r="L612" s="6">
        <v>45384</v>
      </c>
      <c r="M612" t="s">
        <v>53</v>
      </c>
      <c r="N612" t="s">
        <v>1747</v>
      </c>
      <c r="O612" t="s">
        <v>114</v>
      </c>
      <c r="P612">
        <v>17</v>
      </c>
      <c r="Q612" t="s">
        <v>48</v>
      </c>
    </row>
    <row r="613" spans="1:17">
      <c r="A613">
        <v>76</v>
      </c>
      <c r="B613" t="s">
        <v>137</v>
      </c>
      <c r="C613" t="s">
        <v>144</v>
      </c>
      <c r="D613" t="s">
        <v>27</v>
      </c>
      <c r="E613" s="6">
        <v>45357</v>
      </c>
      <c r="F613" t="s">
        <v>756</v>
      </c>
      <c r="G613" t="s">
        <v>1550</v>
      </c>
      <c r="H613" t="s">
        <v>39</v>
      </c>
      <c r="I613" s="4">
        <v>27307.01240988367</v>
      </c>
      <c r="J613">
        <v>180</v>
      </c>
      <c r="K613" t="s">
        <v>36</v>
      </c>
      <c r="L613" s="6">
        <v>45365</v>
      </c>
      <c r="M613" t="s">
        <v>54</v>
      </c>
      <c r="N613" t="s">
        <v>1747</v>
      </c>
      <c r="O613" t="s">
        <v>114</v>
      </c>
      <c r="P613">
        <v>8</v>
      </c>
      <c r="Q613" t="s">
        <v>48</v>
      </c>
    </row>
    <row r="614" spans="1:17">
      <c r="A614">
        <v>21</v>
      </c>
      <c r="B614" t="s">
        <v>138</v>
      </c>
      <c r="C614" t="s">
        <v>139</v>
      </c>
      <c r="D614" t="s">
        <v>32</v>
      </c>
      <c r="E614" s="6">
        <v>45376</v>
      </c>
      <c r="F614" t="s">
        <v>757</v>
      </c>
      <c r="G614" t="s">
        <v>1551</v>
      </c>
      <c r="H614" t="s">
        <v>40</v>
      </c>
      <c r="I614" s="4">
        <v>37703.16760147022</v>
      </c>
      <c r="J614">
        <v>325</v>
      </c>
      <c r="K614" t="s">
        <v>35</v>
      </c>
      <c r="L614" s="6">
        <v>45391</v>
      </c>
      <c r="M614" t="s">
        <v>52</v>
      </c>
      <c r="N614" t="s">
        <v>1746</v>
      </c>
      <c r="O614" t="s">
        <v>114</v>
      </c>
      <c r="P614">
        <v>15</v>
      </c>
      <c r="Q614" t="s">
        <v>45</v>
      </c>
    </row>
    <row r="615" spans="1:17">
      <c r="A615">
        <v>84</v>
      </c>
      <c r="B615" t="s">
        <v>138</v>
      </c>
      <c r="C615" t="s">
        <v>144</v>
      </c>
      <c r="D615" t="s">
        <v>29</v>
      </c>
      <c r="E615" s="6">
        <v>45359</v>
      </c>
      <c r="F615" t="s">
        <v>758</v>
      </c>
      <c r="G615" t="s">
        <v>1552</v>
      </c>
      <c r="H615" t="s">
        <v>39</v>
      </c>
      <c r="I615" s="4">
        <v>7985.390171472112</v>
      </c>
      <c r="J615">
        <v>215</v>
      </c>
      <c r="K615" t="s">
        <v>34</v>
      </c>
      <c r="L615" s="6">
        <v>45371</v>
      </c>
      <c r="M615" t="s">
        <v>52</v>
      </c>
      <c r="N615" t="s">
        <v>1747</v>
      </c>
      <c r="O615" t="s">
        <v>114</v>
      </c>
      <c r="P615">
        <v>12</v>
      </c>
      <c r="Q615" t="s">
        <v>48</v>
      </c>
    </row>
    <row r="616" spans="1:17">
      <c r="A616">
        <v>67</v>
      </c>
      <c r="B616" t="s">
        <v>137</v>
      </c>
      <c r="C616" t="s">
        <v>145</v>
      </c>
      <c r="D616" t="s">
        <v>30</v>
      </c>
      <c r="E616" s="6">
        <v>45362</v>
      </c>
      <c r="F616" t="s">
        <v>759</v>
      </c>
      <c r="G616" t="s">
        <v>1553</v>
      </c>
      <c r="H616" t="s">
        <v>39</v>
      </c>
      <c r="I616" s="4">
        <v>9587.398521128707</v>
      </c>
      <c r="J616">
        <v>315</v>
      </c>
      <c r="K616" t="s">
        <v>35</v>
      </c>
      <c r="L616" s="6">
        <v>45389</v>
      </c>
      <c r="M616" t="s">
        <v>53</v>
      </c>
      <c r="N616" t="s">
        <v>1748</v>
      </c>
      <c r="O616" t="s">
        <v>114</v>
      </c>
      <c r="P616">
        <v>27</v>
      </c>
      <c r="Q616" t="s">
        <v>48</v>
      </c>
    </row>
    <row r="617" spans="1:17">
      <c r="A617">
        <v>79</v>
      </c>
      <c r="B617" t="s">
        <v>137</v>
      </c>
      <c r="C617" t="s">
        <v>139</v>
      </c>
      <c r="D617" t="s">
        <v>32</v>
      </c>
      <c r="E617" s="6">
        <v>45380</v>
      </c>
      <c r="F617" t="s">
        <v>760</v>
      </c>
      <c r="G617" t="s">
        <v>1554</v>
      </c>
      <c r="H617" t="s">
        <v>39</v>
      </c>
      <c r="I617" s="4">
        <v>34877.55051276388</v>
      </c>
      <c r="J617">
        <v>173</v>
      </c>
      <c r="K617" t="s">
        <v>34</v>
      </c>
      <c r="L617" s="6">
        <v>45395</v>
      </c>
      <c r="M617" t="s">
        <v>54</v>
      </c>
      <c r="N617" t="s">
        <v>1746</v>
      </c>
      <c r="O617" t="s">
        <v>114</v>
      </c>
      <c r="P617">
        <v>15</v>
      </c>
      <c r="Q617" t="s">
        <v>48</v>
      </c>
    </row>
    <row r="618" spans="1:17">
      <c r="A618">
        <v>85</v>
      </c>
      <c r="B618" t="s">
        <v>137</v>
      </c>
      <c r="C618" t="s">
        <v>145</v>
      </c>
      <c r="D618" t="s">
        <v>29</v>
      </c>
      <c r="E618" s="6">
        <v>45362</v>
      </c>
      <c r="F618" t="s">
        <v>761</v>
      </c>
      <c r="G618" t="s">
        <v>1555</v>
      </c>
      <c r="H618" t="s">
        <v>40</v>
      </c>
      <c r="I618" s="4">
        <v>28950.82714812471</v>
      </c>
      <c r="J618">
        <v>337</v>
      </c>
      <c r="K618" t="s">
        <v>34</v>
      </c>
      <c r="L618" s="6">
        <v>45383</v>
      </c>
      <c r="M618" t="s">
        <v>50</v>
      </c>
      <c r="N618" t="s">
        <v>1747</v>
      </c>
      <c r="O618" t="s">
        <v>114</v>
      </c>
      <c r="P618">
        <v>21</v>
      </c>
      <c r="Q618" t="s">
        <v>48</v>
      </c>
    </row>
    <row r="619" spans="1:17">
      <c r="A619">
        <v>24</v>
      </c>
      <c r="B619" t="s">
        <v>137</v>
      </c>
      <c r="C619" t="s">
        <v>141</v>
      </c>
      <c r="D619" t="s">
        <v>29</v>
      </c>
      <c r="E619" s="6">
        <v>45371</v>
      </c>
      <c r="F619" t="s">
        <v>762</v>
      </c>
      <c r="G619" t="s">
        <v>1556</v>
      </c>
      <c r="H619" t="s">
        <v>38</v>
      </c>
      <c r="I619" s="4">
        <v>11976.08978216649</v>
      </c>
      <c r="J619">
        <v>434</v>
      </c>
      <c r="K619" t="s">
        <v>36</v>
      </c>
      <c r="L619" s="6">
        <v>45388</v>
      </c>
      <c r="M619" t="s">
        <v>51</v>
      </c>
      <c r="N619" t="s">
        <v>1748</v>
      </c>
      <c r="O619" t="s">
        <v>114</v>
      </c>
      <c r="P619">
        <v>17</v>
      </c>
      <c r="Q619" t="s">
        <v>45</v>
      </c>
    </row>
    <row r="620" spans="1:17">
      <c r="A620">
        <v>27</v>
      </c>
      <c r="B620" t="s">
        <v>137</v>
      </c>
      <c r="C620" t="s">
        <v>143</v>
      </c>
      <c r="D620" t="s">
        <v>28</v>
      </c>
      <c r="E620" s="6">
        <v>45375</v>
      </c>
      <c r="F620" t="s">
        <v>763</v>
      </c>
      <c r="G620" t="s">
        <v>1557</v>
      </c>
      <c r="H620" t="s">
        <v>38</v>
      </c>
      <c r="I620" s="4">
        <v>48510.60610827524</v>
      </c>
      <c r="J620">
        <v>331</v>
      </c>
      <c r="K620" t="s">
        <v>34</v>
      </c>
      <c r="L620" s="6">
        <v>45385</v>
      </c>
      <c r="M620" t="s">
        <v>50</v>
      </c>
      <c r="N620" t="s">
        <v>1747</v>
      </c>
      <c r="O620" t="s">
        <v>114</v>
      </c>
      <c r="P620">
        <v>10</v>
      </c>
      <c r="Q620" t="s">
        <v>45</v>
      </c>
    </row>
    <row r="621" spans="1:17">
      <c r="A621">
        <v>54</v>
      </c>
      <c r="B621" t="s">
        <v>137</v>
      </c>
      <c r="C621" t="s">
        <v>140</v>
      </c>
      <c r="D621" t="s">
        <v>27</v>
      </c>
      <c r="E621" s="6">
        <v>45363</v>
      </c>
      <c r="F621" t="s">
        <v>764</v>
      </c>
      <c r="G621" t="s">
        <v>1558</v>
      </c>
      <c r="H621" t="s">
        <v>40</v>
      </c>
      <c r="I621" s="4">
        <v>3813.264216103225</v>
      </c>
      <c r="J621">
        <v>437</v>
      </c>
      <c r="K621" t="s">
        <v>34</v>
      </c>
      <c r="L621" s="6">
        <v>45371</v>
      </c>
      <c r="M621" t="s">
        <v>51</v>
      </c>
      <c r="N621" t="s">
        <v>1747</v>
      </c>
      <c r="O621" t="s">
        <v>114</v>
      </c>
      <c r="P621">
        <v>8</v>
      </c>
      <c r="Q621" t="s">
        <v>47</v>
      </c>
    </row>
    <row r="622" spans="1:17">
      <c r="A622">
        <v>63</v>
      </c>
      <c r="B622" t="s">
        <v>137</v>
      </c>
      <c r="C622" t="s">
        <v>142</v>
      </c>
      <c r="D622" t="s">
        <v>30</v>
      </c>
      <c r="E622" s="6">
        <v>45359</v>
      </c>
      <c r="F622" t="s">
        <v>765</v>
      </c>
      <c r="G622" t="s">
        <v>1559</v>
      </c>
      <c r="H622" t="s">
        <v>42</v>
      </c>
      <c r="I622" s="4">
        <v>20791.70437712156</v>
      </c>
      <c r="J622">
        <v>143</v>
      </c>
      <c r="K622" t="s">
        <v>34</v>
      </c>
      <c r="L622" s="6">
        <v>45375</v>
      </c>
      <c r="M622" t="s">
        <v>50</v>
      </c>
      <c r="N622" t="s">
        <v>1746</v>
      </c>
      <c r="O622" t="s">
        <v>114</v>
      </c>
      <c r="P622">
        <v>16</v>
      </c>
      <c r="Q622" t="s">
        <v>47</v>
      </c>
    </row>
    <row r="623" spans="1:17">
      <c r="A623">
        <v>50</v>
      </c>
      <c r="B623" t="s">
        <v>137</v>
      </c>
      <c r="C623" t="s">
        <v>145</v>
      </c>
      <c r="D623" t="s">
        <v>32</v>
      </c>
      <c r="E623" s="6">
        <v>45380</v>
      </c>
      <c r="F623" t="s">
        <v>766</v>
      </c>
      <c r="G623" t="s">
        <v>973</v>
      </c>
      <c r="H623" t="s">
        <v>42</v>
      </c>
      <c r="I623" s="4">
        <v>9924.898925560115</v>
      </c>
      <c r="J623">
        <v>190</v>
      </c>
      <c r="K623" t="s">
        <v>35</v>
      </c>
      <c r="L623" s="6">
        <v>45389</v>
      </c>
      <c r="M623" t="s">
        <v>54</v>
      </c>
      <c r="N623" t="s">
        <v>1747</v>
      </c>
      <c r="O623" t="s">
        <v>114</v>
      </c>
      <c r="P623">
        <v>9</v>
      </c>
      <c r="Q623" t="s">
        <v>46</v>
      </c>
    </row>
    <row r="624" spans="1:17">
      <c r="A624">
        <v>27</v>
      </c>
      <c r="B624" t="s">
        <v>138</v>
      </c>
      <c r="C624" t="s">
        <v>146</v>
      </c>
      <c r="D624" t="s">
        <v>28</v>
      </c>
      <c r="E624" s="6">
        <v>45361</v>
      </c>
      <c r="F624" t="s">
        <v>767</v>
      </c>
      <c r="G624" t="s">
        <v>1560</v>
      </c>
      <c r="H624" t="s">
        <v>42</v>
      </c>
      <c r="I624" s="4">
        <v>9297.102700313964</v>
      </c>
      <c r="J624">
        <v>194</v>
      </c>
      <c r="K624" t="s">
        <v>34</v>
      </c>
      <c r="L624" s="6">
        <v>45384</v>
      </c>
      <c r="M624" t="s">
        <v>51</v>
      </c>
      <c r="N624" t="s">
        <v>1747</v>
      </c>
      <c r="O624" t="s">
        <v>114</v>
      </c>
      <c r="P624">
        <v>23</v>
      </c>
      <c r="Q624" t="s">
        <v>45</v>
      </c>
    </row>
    <row r="625" spans="1:17">
      <c r="A625">
        <v>31</v>
      </c>
      <c r="B625" t="s">
        <v>137</v>
      </c>
      <c r="C625" t="s">
        <v>146</v>
      </c>
      <c r="D625" t="s">
        <v>32</v>
      </c>
      <c r="E625" s="6">
        <v>45369</v>
      </c>
      <c r="F625" t="s">
        <v>768</v>
      </c>
      <c r="G625" t="s">
        <v>1561</v>
      </c>
      <c r="H625" t="s">
        <v>40</v>
      </c>
      <c r="I625" s="4">
        <v>15691.97024930154</v>
      </c>
      <c r="J625">
        <v>374</v>
      </c>
      <c r="K625" t="s">
        <v>36</v>
      </c>
      <c r="L625" s="6">
        <v>45376</v>
      </c>
      <c r="M625" t="s">
        <v>51</v>
      </c>
      <c r="N625" t="s">
        <v>1746</v>
      </c>
      <c r="O625" t="s">
        <v>114</v>
      </c>
      <c r="P625">
        <v>7</v>
      </c>
      <c r="Q625" t="s">
        <v>45</v>
      </c>
    </row>
    <row r="626" spans="1:17">
      <c r="A626">
        <v>75</v>
      </c>
      <c r="B626" t="s">
        <v>138</v>
      </c>
      <c r="C626" t="s">
        <v>139</v>
      </c>
      <c r="D626" t="s">
        <v>31</v>
      </c>
      <c r="E626" s="6">
        <v>45376</v>
      </c>
      <c r="F626" t="s">
        <v>769</v>
      </c>
      <c r="G626" t="s">
        <v>1562</v>
      </c>
      <c r="H626" t="s">
        <v>38</v>
      </c>
      <c r="I626" s="4">
        <v>17146.68646193109</v>
      </c>
      <c r="J626">
        <v>424</v>
      </c>
      <c r="K626" t="s">
        <v>34</v>
      </c>
      <c r="L626" s="6">
        <v>45392</v>
      </c>
      <c r="M626" t="s">
        <v>54</v>
      </c>
      <c r="N626" t="s">
        <v>1747</v>
      </c>
      <c r="O626" t="s">
        <v>114</v>
      </c>
      <c r="P626">
        <v>16</v>
      </c>
      <c r="Q626" t="s">
        <v>48</v>
      </c>
    </row>
    <row r="627" spans="1:17">
      <c r="A627">
        <v>43</v>
      </c>
      <c r="B627" t="s">
        <v>137</v>
      </c>
      <c r="C627" t="s">
        <v>142</v>
      </c>
      <c r="D627" t="s">
        <v>29</v>
      </c>
      <c r="E627" s="6">
        <v>45368</v>
      </c>
      <c r="F627" t="s">
        <v>770</v>
      </c>
      <c r="G627" t="s">
        <v>1563</v>
      </c>
      <c r="H627" t="s">
        <v>40</v>
      </c>
      <c r="I627" s="4">
        <v>14011.76154824824</v>
      </c>
      <c r="J627">
        <v>395</v>
      </c>
      <c r="K627" t="s">
        <v>36</v>
      </c>
      <c r="L627" s="6">
        <v>45389</v>
      </c>
      <c r="M627" t="s">
        <v>51</v>
      </c>
      <c r="N627" t="s">
        <v>1746</v>
      </c>
      <c r="O627" t="s">
        <v>114</v>
      </c>
      <c r="P627">
        <v>21</v>
      </c>
      <c r="Q627" t="s">
        <v>46</v>
      </c>
    </row>
    <row r="628" spans="1:17">
      <c r="A628">
        <v>69</v>
      </c>
      <c r="B628" t="s">
        <v>138</v>
      </c>
      <c r="C628" t="s">
        <v>145</v>
      </c>
      <c r="D628" t="s">
        <v>29</v>
      </c>
      <c r="E628" s="6">
        <v>45361</v>
      </c>
      <c r="F628" t="s">
        <v>771</v>
      </c>
      <c r="G628" t="s">
        <v>1564</v>
      </c>
      <c r="H628" t="s">
        <v>40</v>
      </c>
      <c r="I628" s="4">
        <v>27703.95965832059</v>
      </c>
      <c r="J628">
        <v>482</v>
      </c>
      <c r="K628" t="s">
        <v>35</v>
      </c>
      <c r="L628" s="6">
        <v>45370</v>
      </c>
      <c r="M628" t="s">
        <v>51</v>
      </c>
      <c r="N628" t="s">
        <v>1747</v>
      </c>
      <c r="O628" t="s">
        <v>114</v>
      </c>
      <c r="P628">
        <v>9</v>
      </c>
      <c r="Q628" t="s">
        <v>48</v>
      </c>
    </row>
    <row r="629" spans="1:17">
      <c r="A629">
        <v>49</v>
      </c>
      <c r="B629" t="s">
        <v>138</v>
      </c>
      <c r="C629" t="s">
        <v>143</v>
      </c>
      <c r="D629" t="s">
        <v>28</v>
      </c>
      <c r="E629" s="6">
        <v>45353</v>
      </c>
      <c r="F629" t="s">
        <v>772</v>
      </c>
      <c r="G629" t="s">
        <v>1565</v>
      </c>
      <c r="H629" t="s">
        <v>39</v>
      </c>
      <c r="I629" s="4">
        <v>39628.10959711019</v>
      </c>
      <c r="J629">
        <v>431</v>
      </c>
      <c r="K629" t="s">
        <v>34</v>
      </c>
      <c r="L629" s="6">
        <v>45368</v>
      </c>
      <c r="M629" t="s">
        <v>52</v>
      </c>
      <c r="N629" t="s">
        <v>1747</v>
      </c>
      <c r="O629" t="s">
        <v>114</v>
      </c>
      <c r="P629">
        <v>15</v>
      </c>
      <c r="Q629" t="s">
        <v>46</v>
      </c>
    </row>
    <row r="630" spans="1:17">
      <c r="A630">
        <v>25</v>
      </c>
      <c r="B630" t="s">
        <v>138</v>
      </c>
      <c r="C630" t="s">
        <v>143</v>
      </c>
      <c r="D630" t="s">
        <v>29</v>
      </c>
      <c r="E630" s="6">
        <v>45364</v>
      </c>
      <c r="F630" t="s">
        <v>773</v>
      </c>
      <c r="G630" t="s">
        <v>1566</v>
      </c>
      <c r="H630" t="s">
        <v>40</v>
      </c>
      <c r="I630" s="4">
        <v>5268.87066919336</v>
      </c>
      <c r="J630">
        <v>499</v>
      </c>
      <c r="K630" t="s">
        <v>34</v>
      </c>
      <c r="L630" s="6">
        <v>45386</v>
      </c>
      <c r="M630" t="s">
        <v>53</v>
      </c>
      <c r="N630" t="s">
        <v>1747</v>
      </c>
      <c r="O630" t="s">
        <v>114</v>
      </c>
      <c r="P630">
        <v>22</v>
      </c>
      <c r="Q630" t="s">
        <v>45</v>
      </c>
    </row>
    <row r="631" spans="1:17">
      <c r="A631">
        <v>26</v>
      </c>
      <c r="B631" t="s">
        <v>138</v>
      </c>
      <c r="C631" t="s">
        <v>144</v>
      </c>
      <c r="D631" t="s">
        <v>27</v>
      </c>
      <c r="E631" s="6">
        <v>45356</v>
      </c>
      <c r="F631" t="s">
        <v>774</v>
      </c>
      <c r="G631" t="s">
        <v>1567</v>
      </c>
      <c r="H631" t="s">
        <v>39</v>
      </c>
      <c r="I631" s="4">
        <v>37778.10602191658</v>
      </c>
      <c r="J631">
        <v>184</v>
      </c>
      <c r="K631" t="s">
        <v>35</v>
      </c>
      <c r="L631" s="6">
        <v>45373</v>
      </c>
      <c r="M631" t="s">
        <v>51</v>
      </c>
      <c r="N631" t="s">
        <v>1746</v>
      </c>
      <c r="O631" t="s">
        <v>114</v>
      </c>
      <c r="P631">
        <v>17</v>
      </c>
      <c r="Q631" t="s">
        <v>45</v>
      </c>
    </row>
    <row r="632" spans="1:17">
      <c r="A632">
        <v>84</v>
      </c>
      <c r="B632" t="s">
        <v>137</v>
      </c>
      <c r="C632" t="s">
        <v>144</v>
      </c>
      <c r="D632" t="s">
        <v>32</v>
      </c>
      <c r="E632" s="6">
        <v>45374</v>
      </c>
      <c r="F632" t="s">
        <v>775</v>
      </c>
      <c r="G632" t="s">
        <v>1568</v>
      </c>
      <c r="H632" t="s">
        <v>42</v>
      </c>
      <c r="I632" s="4">
        <v>34757.3088489119</v>
      </c>
      <c r="J632">
        <v>189</v>
      </c>
      <c r="K632" t="s">
        <v>36</v>
      </c>
      <c r="L632" s="6">
        <v>45391</v>
      </c>
      <c r="M632" t="s">
        <v>54</v>
      </c>
      <c r="N632" t="s">
        <v>1748</v>
      </c>
      <c r="O632" t="s">
        <v>114</v>
      </c>
      <c r="P632">
        <v>17</v>
      </c>
      <c r="Q632" t="s">
        <v>48</v>
      </c>
    </row>
    <row r="633" spans="1:17">
      <c r="A633">
        <v>25</v>
      </c>
      <c r="B633" t="s">
        <v>138</v>
      </c>
      <c r="C633" t="s">
        <v>139</v>
      </c>
      <c r="D633" t="s">
        <v>31</v>
      </c>
      <c r="E633" s="6">
        <v>45358</v>
      </c>
      <c r="F633" t="s">
        <v>776</v>
      </c>
      <c r="G633" t="s">
        <v>1569</v>
      </c>
      <c r="H633" t="s">
        <v>40</v>
      </c>
      <c r="I633" s="4">
        <v>30259.04021660235</v>
      </c>
      <c r="J633">
        <v>427</v>
      </c>
      <c r="K633" t="s">
        <v>35</v>
      </c>
      <c r="L633" s="6">
        <v>45371</v>
      </c>
      <c r="M633" t="s">
        <v>50</v>
      </c>
      <c r="N633" t="s">
        <v>1747</v>
      </c>
      <c r="O633" t="s">
        <v>114</v>
      </c>
      <c r="P633">
        <v>13</v>
      </c>
      <c r="Q633" t="s">
        <v>45</v>
      </c>
    </row>
    <row r="634" spans="1:17">
      <c r="A634">
        <v>42</v>
      </c>
      <c r="B634" t="s">
        <v>137</v>
      </c>
      <c r="C634" t="s">
        <v>146</v>
      </c>
      <c r="D634" t="s">
        <v>27</v>
      </c>
      <c r="E634" s="6">
        <v>45358</v>
      </c>
      <c r="F634" t="s">
        <v>777</v>
      </c>
      <c r="G634" t="s">
        <v>1570</v>
      </c>
      <c r="H634" t="s">
        <v>39</v>
      </c>
      <c r="I634" s="4">
        <v>38231.22230209906</v>
      </c>
      <c r="J634">
        <v>215</v>
      </c>
      <c r="K634" t="s">
        <v>36</v>
      </c>
      <c r="L634" s="6">
        <v>45371</v>
      </c>
      <c r="M634" t="s">
        <v>54</v>
      </c>
      <c r="N634" t="s">
        <v>1748</v>
      </c>
      <c r="O634" t="s">
        <v>114</v>
      </c>
      <c r="P634">
        <v>13</v>
      </c>
      <c r="Q634" t="s">
        <v>46</v>
      </c>
    </row>
    <row r="635" spans="1:17">
      <c r="A635">
        <v>81</v>
      </c>
      <c r="B635" t="s">
        <v>137</v>
      </c>
      <c r="C635" t="s">
        <v>146</v>
      </c>
      <c r="D635" t="s">
        <v>27</v>
      </c>
      <c r="E635" s="6">
        <v>45369</v>
      </c>
      <c r="F635" t="s">
        <v>778</v>
      </c>
      <c r="G635" t="s">
        <v>1571</v>
      </c>
      <c r="H635" t="s">
        <v>38</v>
      </c>
      <c r="I635" s="4">
        <v>33623.54951744965</v>
      </c>
      <c r="J635">
        <v>133</v>
      </c>
      <c r="K635" t="s">
        <v>35</v>
      </c>
      <c r="L635" s="6">
        <v>45370</v>
      </c>
      <c r="M635" t="s">
        <v>53</v>
      </c>
      <c r="N635" t="s">
        <v>1748</v>
      </c>
      <c r="O635" t="s">
        <v>114</v>
      </c>
      <c r="P635">
        <v>1</v>
      </c>
      <c r="Q635" t="s">
        <v>48</v>
      </c>
    </row>
    <row r="636" spans="1:17">
      <c r="A636">
        <v>61</v>
      </c>
      <c r="B636" t="s">
        <v>138</v>
      </c>
      <c r="C636" t="s">
        <v>139</v>
      </c>
      <c r="D636" t="s">
        <v>29</v>
      </c>
      <c r="E636" s="6">
        <v>45358</v>
      </c>
      <c r="F636" t="s">
        <v>779</v>
      </c>
      <c r="G636" t="s">
        <v>1572</v>
      </c>
      <c r="H636" t="s">
        <v>40</v>
      </c>
      <c r="I636" s="4">
        <v>4080.127104984372</v>
      </c>
      <c r="J636">
        <v>448</v>
      </c>
      <c r="K636" t="s">
        <v>35</v>
      </c>
      <c r="L636" s="6">
        <v>45378</v>
      </c>
      <c r="M636" t="s">
        <v>52</v>
      </c>
      <c r="N636" t="s">
        <v>1748</v>
      </c>
      <c r="O636" t="s">
        <v>114</v>
      </c>
      <c r="P636">
        <v>20</v>
      </c>
      <c r="Q636" t="s">
        <v>47</v>
      </c>
    </row>
    <row r="637" spans="1:17">
      <c r="A637">
        <v>19</v>
      </c>
      <c r="B637" t="s">
        <v>137</v>
      </c>
      <c r="C637" t="s">
        <v>145</v>
      </c>
      <c r="D637" t="s">
        <v>31</v>
      </c>
      <c r="E637" s="6">
        <v>45378</v>
      </c>
      <c r="F637" t="s">
        <v>780</v>
      </c>
      <c r="G637" t="s">
        <v>1573</v>
      </c>
      <c r="H637" t="s">
        <v>39</v>
      </c>
      <c r="I637" s="4">
        <v>16632.9244606217</v>
      </c>
      <c r="J637">
        <v>413</v>
      </c>
      <c r="K637" t="s">
        <v>35</v>
      </c>
      <c r="L637" s="6">
        <v>45380</v>
      </c>
      <c r="M637" t="s">
        <v>50</v>
      </c>
      <c r="N637" t="s">
        <v>1746</v>
      </c>
      <c r="O637" t="s">
        <v>114</v>
      </c>
      <c r="P637">
        <v>2</v>
      </c>
      <c r="Q637" t="s">
        <v>45</v>
      </c>
    </row>
    <row r="638" spans="1:17">
      <c r="A638">
        <v>57</v>
      </c>
      <c r="B638" t="s">
        <v>137</v>
      </c>
      <c r="C638" t="s">
        <v>139</v>
      </c>
      <c r="D638" t="s">
        <v>28</v>
      </c>
      <c r="E638" s="6">
        <v>45352</v>
      </c>
      <c r="F638" t="s">
        <v>781</v>
      </c>
      <c r="G638" t="s">
        <v>1574</v>
      </c>
      <c r="H638" t="s">
        <v>39</v>
      </c>
      <c r="I638" s="4">
        <v>11379.71948802424</v>
      </c>
      <c r="J638">
        <v>326</v>
      </c>
      <c r="K638" t="s">
        <v>36</v>
      </c>
      <c r="L638" s="6">
        <v>45372</v>
      </c>
      <c r="M638" t="s">
        <v>53</v>
      </c>
      <c r="N638" t="s">
        <v>1747</v>
      </c>
      <c r="O638" t="s">
        <v>114</v>
      </c>
      <c r="P638">
        <v>20</v>
      </c>
      <c r="Q638" t="s">
        <v>47</v>
      </c>
    </row>
    <row r="639" spans="1:17">
      <c r="A639">
        <v>56</v>
      </c>
      <c r="B639" t="s">
        <v>137</v>
      </c>
      <c r="C639" t="s">
        <v>144</v>
      </c>
      <c r="D639" t="s">
        <v>27</v>
      </c>
      <c r="E639" s="6">
        <v>45353</v>
      </c>
      <c r="F639" t="s">
        <v>782</v>
      </c>
      <c r="G639" t="s">
        <v>1575</v>
      </c>
      <c r="H639" t="s">
        <v>41</v>
      </c>
      <c r="I639" s="4">
        <v>31728.00732035152</v>
      </c>
      <c r="J639">
        <v>148</v>
      </c>
      <c r="K639" t="s">
        <v>35</v>
      </c>
      <c r="L639" s="6">
        <v>45360</v>
      </c>
      <c r="M639" t="s">
        <v>54</v>
      </c>
      <c r="N639" t="s">
        <v>1746</v>
      </c>
      <c r="O639" t="s">
        <v>114</v>
      </c>
      <c r="P639">
        <v>7</v>
      </c>
      <c r="Q639" t="s">
        <v>47</v>
      </c>
    </row>
    <row r="640" spans="1:17">
      <c r="A640">
        <v>59</v>
      </c>
      <c r="B640" t="s">
        <v>137</v>
      </c>
      <c r="C640" t="s">
        <v>139</v>
      </c>
      <c r="D640" t="s">
        <v>29</v>
      </c>
      <c r="E640" s="6">
        <v>45381</v>
      </c>
      <c r="F640" t="s">
        <v>783</v>
      </c>
      <c r="G640" t="s">
        <v>1576</v>
      </c>
      <c r="H640" t="s">
        <v>41</v>
      </c>
      <c r="I640" s="4">
        <v>16645.19804759516</v>
      </c>
      <c r="J640">
        <v>445</v>
      </c>
      <c r="K640" t="s">
        <v>36</v>
      </c>
      <c r="L640" s="6">
        <v>45406</v>
      </c>
      <c r="M640" t="s">
        <v>53</v>
      </c>
      <c r="N640" t="s">
        <v>1746</v>
      </c>
      <c r="O640" t="s">
        <v>114</v>
      </c>
      <c r="P640">
        <v>25</v>
      </c>
      <c r="Q640" t="s">
        <v>47</v>
      </c>
    </row>
    <row r="641" spans="1:17">
      <c r="A641">
        <v>43</v>
      </c>
      <c r="B641" t="s">
        <v>137</v>
      </c>
      <c r="C641" t="s">
        <v>146</v>
      </c>
      <c r="D641" t="s">
        <v>29</v>
      </c>
      <c r="E641" s="6">
        <v>45366</v>
      </c>
      <c r="F641" t="s">
        <v>784</v>
      </c>
      <c r="G641" t="s">
        <v>1577</v>
      </c>
      <c r="H641" t="s">
        <v>42</v>
      </c>
      <c r="I641" s="4">
        <v>36651.95415965192</v>
      </c>
      <c r="J641">
        <v>237</v>
      </c>
      <c r="K641" t="s">
        <v>35</v>
      </c>
      <c r="L641" s="6">
        <v>45396</v>
      </c>
      <c r="M641" t="s">
        <v>51</v>
      </c>
      <c r="N641" t="s">
        <v>1748</v>
      </c>
      <c r="O641" t="s">
        <v>114</v>
      </c>
      <c r="P641">
        <v>30</v>
      </c>
      <c r="Q641" t="s">
        <v>46</v>
      </c>
    </row>
    <row r="642" spans="1:17">
      <c r="A642">
        <v>60</v>
      </c>
      <c r="B642" t="s">
        <v>137</v>
      </c>
      <c r="C642" t="s">
        <v>146</v>
      </c>
      <c r="D642" t="s">
        <v>28</v>
      </c>
      <c r="E642" s="6">
        <v>45366</v>
      </c>
      <c r="F642" t="s">
        <v>785</v>
      </c>
      <c r="G642" t="s">
        <v>1578</v>
      </c>
      <c r="H642" t="s">
        <v>40</v>
      </c>
      <c r="I642" s="4">
        <v>49303.38672324587</v>
      </c>
      <c r="J642">
        <v>323</v>
      </c>
      <c r="K642" t="s">
        <v>34</v>
      </c>
      <c r="L642" s="6">
        <v>45376</v>
      </c>
      <c r="M642" t="s">
        <v>52</v>
      </c>
      <c r="N642" t="s">
        <v>1748</v>
      </c>
      <c r="O642" t="s">
        <v>114</v>
      </c>
      <c r="P642">
        <v>10</v>
      </c>
      <c r="Q642" t="s">
        <v>47</v>
      </c>
    </row>
    <row r="643" spans="1:17">
      <c r="A643">
        <v>55</v>
      </c>
      <c r="B643" t="s">
        <v>138</v>
      </c>
      <c r="C643" t="s">
        <v>145</v>
      </c>
      <c r="D643" t="s">
        <v>31</v>
      </c>
      <c r="E643" s="6">
        <v>45379</v>
      </c>
      <c r="F643" t="s">
        <v>786</v>
      </c>
      <c r="G643" t="s">
        <v>1579</v>
      </c>
      <c r="H643" t="s">
        <v>40</v>
      </c>
      <c r="I643" s="4">
        <v>7906.227483438439</v>
      </c>
      <c r="J643">
        <v>495</v>
      </c>
      <c r="K643" t="s">
        <v>34</v>
      </c>
      <c r="L643" s="6">
        <v>45399</v>
      </c>
      <c r="M643" t="s">
        <v>54</v>
      </c>
      <c r="N643" t="s">
        <v>1746</v>
      </c>
      <c r="O643" t="s">
        <v>114</v>
      </c>
      <c r="P643">
        <v>20</v>
      </c>
      <c r="Q643" t="s">
        <v>47</v>
      </c>
    </row>
    <row r="644" spans="1:17">
      <c r="A644">
        <v>50</v>
      </c>
      <c r="B644" t="s">
        <v>138</v>
      </c>
      <c r="C644" t="s">
        <v>142</v>
      </c>
      <c r="D644" t="s">
        <v>27</v>
      </c>
      <c r="E644" s="6">
        <v>45375</v>
      </c>
      <c r="F644" t="s">
        <v>787</v>
      </c>
      <c r="G644" t="s">
        <v>1580</v>
      </c>
      <c r="H644" t="s">
        <v>39</v>
      </c>
      <c r="I644" s="4">
        <v>14705.56223253821</v>
      </c>
      <c r="J644">
        <v>360</v>
      </c>
      <c r="K644" t="s">
        <v>34</v>
      </c>
      <c r="L644" s="6">
        <v>45388</v>
      </c>
      <c r="M644" t="s">
        <v>53</v>
      </c>
      <c r="N644" t="s">
        <v>1747</v>
      </c>
      <c r="O644" t="s">
        <v>114</v>
      </c>
      <c r="P644">
        <v>13</v>
      </c>
      <c r="Q644" t="s">
        <v>46</v>
      </c>
    </row>
    <row r="645" spans="1:17">
      <c r="A645">
        <v>74</v>
      </c>
      <c r="B645" t="s">
        <v>137</v>
      </c>
      <c r="C645" t="s">
        <v>141</v>
      </c>
      <c r="D645" t="s">
        <v>32</v>
      </c>
      <c r="E645" s="6">
        <v>45358</v>
      </c>
      <c r="F645" t="s">
        <v>788</v>
      </c>
      <c r="G645" t="s">
        <v>1581</v>
      </c>
      <c r="H645" t="s">
        <v>40</v>
      </c>
      <c r="I645" s="4">
        <v>2394.509976894417</v>
      </c>
      <c r="J645">
        <v>348</v>
      </c>
      <c r="K645" t="s">
        <v>34</v>
      </c>
      <c r="L645" s="6">
        <v>45370</v>
      </c>
      <c r="M645" t="s">
        <v>53</v>
      </c>
      <c r="N645" t="s">
        <v>1748</v>
      </c>
      <c r="O645" t="s">
        <v>114</v>
      </c>
      <c r="P645">
        <v>12</v>
      </c>
      <c r="Q645" t="s">
        <v>48</v>
      </c>
    </row>
    <row r="646" spans="1:17">
      <c r="A646">
        <v>81</v>
      </c>
      <c r="B646" t="s">
        <v>137</v>
      </c>
      <c r="C646" t="s">
        <v>146</v>
      </c>
      <c r="D646" t="s">
        <v>31</v>
      </c>
      <c r="E646" s="6">
        <v>45359</v>
      </c>
      <c r="F646" t="s">
        <v>789</v>
      </c>
      <c r="G646" t="s">
        <v>1582</v>
      </c>
      <c r="H646" t="s">
        <v>41</v>
      </c>
      <c r="I646" s="4">
        <v>15892.78265558671</v>
      </c>
      <c r="J646">
        <v>341</v>
      </c>
      <c r="K646" t="s">
        <v>36</v>
      </c>
      <c r="L646" s="6">
        <v>45374</v>
      </c>
      <c r="M646" t="s">
        <v>50</v>
      </c>
      <c r="N646" t="s">
        <v>1746</v>
      </c>
      <c r="O646" t="s">
        <v>114</v>
      </c>
      <c r="P646">
        <v>15</v>
      </c>
      <c r="Q646" t="s">
        <v>48</v>
      </c>
    </row>
    <row r="647" spans="1:17">
      <c r="A647">
        <v>42</v>
      </c>
      <c r="B647" t="s">
        <v>138</v>
      </c>
      <c r="C647" t="s">
        <v>139</v>
      </c>
      <c r="D647" t="s">
        <v>31</v>
      </c>
      <c r="E647" s="6">
        <v>45375</v>
      </c>
      <c r="F647" t="s">
        <v>790</v>
      </c>
      <c r="G647" t="s">
        <v>1583</v>
      </c>
      <c r="H647" t="s">
        <v>42</v>
      </c>
      <c r="I647" s="4">
        <v>28648.11120059935</v>
      </c>
      <c r="J647">
        <v>289</v>
      </c>
      <c r="K647" t="s">
        <v>36</v>
      </c>
      <c r="L647" s="6">
        <v>45390</v>
      </c>
      <c r="M647" t="s">
        <v>51</v>
      </c>
      <c r="N647" t="s">
        <v>1748</v>
      </c>
      <c r="O647" t="s">
        <v>114</v>
      </c>
      <c r="P647">
        <v>15</v>
      </c>
      <c r="Q647" t="s">
        <v>46</v>
      </c>
    </row>
    <row r="648" spans="1:17">
      <c r="A648">
        <v>24</v>
      </c>
      <c r="B648" t="s">
        <v>137</v>
      </c>
      <c r="C648" t="s">
        <v>139</v>
      </c>
      <c r="D648" t="s">
        <v>29</v>
      </c>
      <c r="E648" s="6">
        <v>45358</v>
      </c>
      <c r="F648" t="s">
        <v>791</v>
      </c>
      <c r="G648" t="s">
        <v>1584</v>
      </c>
      <c r="H648" t="s">
        <v>42</v>
      </c>
      <c r="I648" s="4">
        <v>24864.17129861885</v>
      </c>
      <c r="J648">
        <v>302</v>
      </c>
      <c r="K648" t="s">
        <v>36</v>
      </c>
      <c r="L648" s="6">
        <v>45388</v>
      </c>
      <c r="M648" t="s">
        <v>51</v>
      </c>
      <c r="N648" t="s">
        <v>1747</v>
      </c>
      <c r="O648" t="s">
        <v>114</v>
      </c>
      <c r="P648">
        <v>30</v>
      </c>
      <c r="Q648" t="s">
        <v>45</v>
      </c>
    </row>
    <row r="649" spans="1:17">
      <c r="A649">
        <v>23</v>
      </c>
      <c r="B649" t="s">
        <v>138</v>
      </c>
      <c r="C649" t="s">
        <v>146</v>
      </c>
      <c r="D649" t="s">
        <v>31</v>
      </c>
      <c r="E649" s="6">
        <v>45370</v>
      </c>
      <c r="F649" t="s">
        <v>792</v>
      </c>
      <c r="G649" t="s">
        <v>1585</v>
      </c>
      <c r="H649" t="s">
        <v>38</v>
      </c>
      <c r="I649" s="4">
        <v>17347.74154519234</v>
      </c>
      <c r="J649">
        <v>196</v>
      </c>
      <c r="K649" t="s">
        <v>35</v>
      </c>
      <c r="L649" s="6">
        <v>45395</v>
      </c>
      <c r="M649" t="s">
        <v>53</v>
      </c>
      <c r="N649" t="s">
        <v>1747</v>
      </c>
      <c r="O649" t="s">
        <v>114</v>
      </c>
      <c r="P649">
        <v>25</v>
      </c>
      <c r="Q649" t="s">
        <v>45</v>
      </c>
    </row>
    <row r="650" spans="1:17">
      <c r="A650">
        <v>59</v>
      </c>
      <c r="B650" t="s">
        <v>138</v>
      </c>
      <c r="C650" t="s">
        <v>144</v>
      </c>
      <c r="D650" t="s">
        <v>31</v>
      </c>
      <c r="E650" s="6">
        <v>45364</v>
      </c>
      <c r="F650" t="s">
        <v>793</v>
      </c>
      <c r="G650" t="s">
        <v>1586</v>
      </c>
      <c r="H650" t="s">
        <v>41</v>
      </c>
      <c r="I650" s="4">
        <v>32611.40191642501</v>
      </c>
      <c r="J650">
        <v>159</v>
      </c>
      <c r="K650" t="s">
        <v>34</v>
      </c>
      <c r="L650" s="6">
        <v>45366</v>
      </c>
      <c r="M650" t="s">
        <v>54</v>
      </c>
      <c r="N650" t="s">
        <v>1748</v>
      </c>
      <c r="O650" t="s">
        <v>114</v>
      </c>
      <c r="P650">
        <v>2</v>
      </c>
      <c r="Q650" t="s">
        <v>47</v>
      </c>
    </row>
    <row r="651" spans="1:17">
      <c r="A651">
        <v>85</v>
      </c>
      <c r="B651" t="s">
        <v>138</v>
      </c>
      <c r="C651" t="s">
        <v>145</v>
      </c>
      <c r="D651" t="s">
        <v>29</v>
      </c>
      <c r="E651" s="6">
        <v>45368</v>
      </c>
      <c r="F651" t="s">
        <v>794</v>
      </c>
      <c r="G651" t="s">
        <v>1587</v>
      </c>
      <c r="H651" t="s">
        <v>38</v>
      </c>
      <c r="I651" s="4">
        <v>26097.58025104743</v>
      </c>
      <c r="J651">
        <v>113</v>
      </c>
      <c r="K651" t="s">
        <v>35</v>
      </c>
      <c r="L651" s="6">
        <v>45376</v>
      </c>
      <c r="M651" t="s">
        <v>52</v>
      </c>
      <c r="N651" t="s">
        <v>1748</v>
      </c>
      <c r="O651" t="s">
        <v>114</v>
      </c>
      <c r="P651">
        <v>8</v>
      </c>
      <c r="Q651" t="s">
        <v>48</v>
      </c>
    </row>
    <row r="652" spans="1:17">
      <c r="A652">
        <v>34</v>
      </c>
      <c r="B652" t="s">
        <v>138</v>
      </c>
      <c r="C652" t="s">
        <v>139</v>
      </c>
      <c r="D652" t="s">
        <v>29</v>
      </c>
      <c r="E652" s="6">
        <v>45365</v>
      </c>
      <c r="F652" t="s">
        <v>795</v>
      </c>
      <c r="G652" t="s">
        <v>1588</v>
      </c>
      <c r="H652" t="s">
        <v>41</v>
      </c>
      <c r="I652" s="4">
        <v>18662.22825449232</v>
      </c>
      <c r="J652">
        <v>147</v>
      </c>
      <c r="K652" t="s">
        <v>35</v>
      </c>
      <c r="L652" s="6">
        <v>45385</v>
      </c>
      <c r="M652" t="s">
        <v>53</v>
      </c>
      <c r="N652" t="s">
        <v>1746</v>
      </c>
      <c r="O652" t="s">
        <v>114</v>
      </c>
      <c r="P652">
        <v>20</v>
      </c>
      <c r="Q652" t="s">
        <v>45</v>
      </c>
    </row>
    <row r="653" spans="1:17">
      <c r="A653">
        <v>81</v>
      </c>
      <c r="B653" t="s">
        <v>138</v>
      </c>
      <c r="C653" t="s">
        <v>144</v>
      </c>
      <c r="D653" t="s">
        <v>27</v>
      </c>
      <c r="E653" s="6">
        <v>45366</v>
      </c>
      <c r="F653" t="s">
        <v>796</v>
      </c>
      <c r="G653" t="s">
        <v>1589</v>
      </c>
      <c r="H653" t="s">
        <v>41</v>
      </c>
      <c r="I653" s="4">
        <v>5377.451110469648</v>
      </c>
      <c r="J653">
        <v>344</v>
      </c>
      <c r="K653" t="s">
        <v>35</v>
      </c>
      <c r="L653" s="6">
        <v>45372</v>
      </c>
      <c r="M653" t="s">
        <v>54</v>
      </c>
      <c r="N653" t="s">
        <v>1747</v>
      </c>
      <c r="O653" t="s">
        <v>114</v>
      </c>
      <c r="P653">
        <v>6</v>
      </c>
      <c r="Q653" t="s">
        <v>48</v>
      </c>
    </row>
    <row r="654" spans="1:17">
      <c r="A654">
        <v>40</v>
      </c>
      <c r="B654" t="s">
        <v>138</v>
      </c>
      <c r="C654" t="s">
        <v>144</v>
      </c>
      <c r="D654" t="s">
        <v>32</v>
      </c>
      <c r="E654" s="6">
        <v>45367</v>
      </c>
      <c r="F654" t="s">
        <v>797</v>
      </c>
      <c r="G654" t="s">
        <v>1590</v>
      </c>
      <c r="H654" t="s">
        <v>41</v>
      </c>
      <c r="I654" s="4">
        <v>41149.04783584328</v>
      </c>
      <c r="J654">
        <v>165</v>
      </c>
      <c r="K654" t="s">
        <v>35</v>
      </c>
      <c r="L654" s="6">
        <v>45380</v>
      </c>
      <c r="M654" t="s">
        <v>54</v>
      </c>
      <c r="N654" t="s">
        <v>1748</v>
      </c>
      <c r="O654" t="s">
        <v>114</v>
      </c>
      <c r="P654">
        <v>13</v>
      </c>
      <c r="Q654" t="s">
        <v>46</v>
      </c>
    </row>
    <row r="655" spans="1:17">
      <c r="A655">
        <v>76</v>
      </c>
      <c r="B655" t="s">
        <v>138</v>
      </c>
      <c r="C655" t="s">
        <v>144</v>
      </c>
      <c r="D655" t="s">
        <v>30</v>
      </c>
      <c r="E655" s="6">
        <v>45379</v>
      </c>
      <c r="F655" t="s">
        <v>798</v>
      </c>
      <c r="G655" t="s">
        <v>1591</v>
      </c>
      <c r="H655" t="s">
        <v>42</v>
      </c>
      <c r="I655" s="4">
        <v>2595.742795565985</v>
      </c>
      <c r="J655">
        <v>418</v>
      </c>
      <c r="K655" t="s">
        <v>34</v>
      </c>
      <c r="L655" s="6">
        <v>45397</v>
      </c>
      <c r="M655" t="s">
        <v>52</v>
      </c>
      <c r="N655" t="s">
        <v>1747</v>
      </c>
      <c r="O655" t="s">
        <v>114</v>
      </c>
      <c r="P655">
        <v>18</v>
      </c>
      <c r="Q655" t="s">
        <v>48</v>
      </c>
    </row>
    <row r="656" spans="1:17">
      <c r="A656">
        <v>75</v>
      </c>
      <c r="B656" t="s">
        <v>137</v>
      </c>
      <c r="C656" t="s">
        <v>146</v>
      </c>
      <c r="D656" t="s">
        <v>29</v>
      </c>
      <c r="E656" s="6">
        <v>45358</v>
      </c>
      <c r="F656" t="s">
        <v>799</v>
      </c>
      <c r="G656" t="s">
        <v>1592</v>
      </c>
      <c r="H656" t="s">
        <v>42</v>
      </c>
      <c r="I656" s="4">
        <v>11629.62628264367</v>
      </c>
      <c r="J656">
        <v>368</v>
      </c>
      <c r="K656" t="s">
        <v>35</v>
      </c>
      <c r="L656" s="6">
        <v>45360</v>
      </c>
      <c r="M656" t="s">
        <v>53</v>
      </c>
      <c r="N656" t="s">
        <v>1747</v>
      </c>
      <c r="O656" t="s">
        <v>114</v>
      </c>
      <c r="P656">
        <v>2</v>
      </c>
      <c r="Q656" t="s">
        <v>48</v>
      </c>
    </row>
    <row r="657" spans="1:17">
      <c r="A657">
        <v>38</v>
      </c>
      <c r="B657" t="s">
        <v>138</v>
      </c>
      <c r="C657" t="s">
        <v>145</v>
      </c>
      <c r="D657" t="s">
        <v>31</v>
      </c>
      <c r="E657" s="6">
        <v>45360</v>
      </c>
      <c r="F657" t="s">
        <v>800</v>
      </c>
      <c r="G657" t="s">
        <v>1593</v>
      </c>
      <c r="H657" t="s">
        <v>41</v>
      </c>
      <c r="I657" s="4">
        <v>46918.27148616751</v>
      </c>
      <c r="J657">
        <v>288</v>
      </c>
      <c r="K657" t="s">
        <v>34</v>
      </c>
      <c r="L657" s="6">
        <v>45388</v>
      </c>
      <c r="M657" t="s">
        <v>50</v>
      </c>
      <c r="N657" t="s">
        <v>1748</v>
      </c>
      <c r="O657" t="s">
        <v>114</v>
      </c>
      <c r="P657">
        <v>28</v>
      </c>
      <c r="Q657" t="s">
        <v>46</v>
      </c>
    </row>
    <row r="658" spans="1:17">
      <c r="A658">
        <v>61</v>
      </c>
      <c r="B658" t="s">
        <v>137</v>
      </c>
      <c r="C658" t="s">
        <v>140</v>
      </c>
      <c r="D658" t="s">
        <v>29</v>
      </c>
      <c r="E658" s="6">
        <v>45358</v>
      </c>
      <c r="F658" t="s">
        <v>801</v>
      </c>
      <c r="G658" t="s">
        <v>1594</v>
      </c>
      <c r="H658" t="s">
        <v>38</v>
      </c>
      <c r="I658" s="4">
        <v>18299.8370689819</v>
      </c>
      <c r="J658">
        <v>379</v>
      </c>
      <c r="K658" t="s">
        <v>35</v>
      </c>
      <c r="L658" s="6">
        <v>45360</v>
      </c>
      <c r="M658" t="s">
        <v>50</v>
      </c>
      <c r="N658" t="s">
        <v>1747</v>
      </c>
      <c r="O658" t="s">
        <v>114</v>
      </c>
      <c r="P658">
        <v>2</v>
      </c>
      <c r="Q658" t="s">
        <v>47</v>
      </c>
    </row>
    <row r="659" spans="1:17">
      <c r="A659">
        <v>46</v>
      </c>
      <c r="B659" t="s">
        <v>138</v>
      </c>
      <c r="C659" t="s">
        <v>140</v>
      </c>
      <c r="D659" t="s">
        <v>27</v>
      </c>
      <c r="E659" s="6">
        <v>45375</v>
      </c>
      <c r="F659" t="s">
        <v>802</v>
      </c>
      <c r="G659" t="s">
        <v>1595</v>
      </c>
      <c r="H659" t="s">
        <v>42</v>
      </c>
      <c r="I659" s="4">
        <v>47807.10822714803</v>
      </c>
      <c r="J659">
        <v>338</v>
      </c>
      <c r="K659" t="s">
        <v>34</v>
      </c>
      <c r="L659" s="6">
        <v>45395</v>
      </c>
      <c r="M659" t="s">
        <v>52</v>
      </c>
      <c r="N659" t="s">
        <v>1748</v>
      </c>
      <c r="O659" t="s">
        <v>114</v>
      </c>
      <c r="P659">
        <v>20</v>
      </c>
      <c r="Q659" t="s">
        <v>46</v>
      </c>
    </row>
    <row r="660" spans="1:17">
      <c r="A660">
        <v>52</v>
      </c>
      <c r="B660" t="s">
        <v>137</v>
      </c>
      <c r="C660" t="s">
        <v>139</v>
      </c>
      <c r="D660" t="s">
        <v>30</v>
      </c>
      <c r="E660" s="6">
        <v>45378</v>
      </c>
      <c r="F660" t="s">
        <v>803</v>
      </c>
      <c r="G660" t="s">
        <v>1596</v>
      </c>
      <c r="H660" t="s">
        <v>39</v>
      </c>
      <c r="I660" s="4">
        <v>16799.77276462461</v>
      </c>
      <c r="J660">
        <v>430</v>
      </c>
      <c r="K660" t="s">
        <v>36</v>
      </c>
      <c r="L660" s="6">
        <v>45397</v>
      </c>
      <c r="M660" t="s">
        <v>51</v>
      </c>
      <c r="N660" t="s">
        <v>1748</v>
      </c>
      <c r="O660" t="s">
        <v>114</v>
      </c>
      <c r="P660">
        <v>19</v>
      </c>
      <c r="Q660" t="s">
        <v>47</v>
      </c>
    </row>
    <row r="661" spans="1:17">
      <c r="A661">
        <v>66</v>
      </c>
      <c r="B661" t="s">
        <v>137</v>
      </c>
      <c r="C661" t="s">
        <v>141</v>
      </c>
      <c r="D661" t="s">
        <v>28</v>
      </c>
      <c r="E661" s="6">
        <v>45363</v>
      </c>
      <c r="F661" t="s">
        <v>804</v>
      </c>
      <c r="G661" t="s">
        <v>1597</v>
      </c>
      <c r="H661" t="s">
        <v>41</v>
      </c>
      <c r="I661" s="4">
        <v>23331.70930350421</v>
      </c>
      <c r="J661">
        <v>454</v>
      </c>
      <c r="K661" t="s">
        <v>35</v>
      </c>
      <c r="L661" s="6">
        <v>45393</v>
      </c>
      <c r="M661" t="s">
        <v>54</v>
      </c>
      <c r="N661" t="s">
        <v>1746</v>
      </c>
      <c r="O661" t="s">
        <v>114</v>
      </c>
      <c r="P661">
        <v>30</v>
      </c>
      <c r="Q661" t="s">
        <v>48</v>
      </c>
    </row>
    <row r="662" spans="1:17">
      <c r="A662">
        <v>83</v>
      </c>
      <c r="B662" t="s">
        <v>137</v>
      </c>
      <c r="C662" t="s">
        <v>139</v>
      </c>
      <c r="D662" t="s">
        <v>32</v>
      </c>
      <c r="E662" s="6">
        <v>45362</v>
      </c>
      <c r="F662" t="s">
        <v>805</v>
      </c>
      <c r="G662" t="s">
        <v>1598</v>
      </c>
      <c r="H662" t="s">
        <v>38</v>
      </c>
      <c r="I662" s="4">
        <v>35961.79567395557</v>
      </c>
      <c r="J662">
        <v>446</v>
      </c>
      <c r="K662" t="s">
        <v>35</v>
      </c>
      <c r="L662" s="6">
        <v>45368</v>
      </c>
      <c r="M662" t="s">
        <v>54</v>
      </c>
      <c r="N662" t="s">
        <v>1747</v>
      </c>
      <c r="O662" t="s">
        <v>114</v>
      </c>
      <c r="P662">
        <v>6</v>
      </c>
      <c r="Q662" t="s">
        <v>48</v>
      </c>
    </row>
    <row r="663" spans="1:17">
      <c r="A663">
        <v>79</v>
      </c>
      <c r="B663" t="s">
        <v>137</v>
      </c>
      <c r="C663" t="s">
        <v>139</v>
      </c>
      <c r="D663" t="s">
        <v>30</v>
      </c>
      <c r="E663" s="6">
        <v>45352</v>
      </c>
      <c r="F663" t="s">
        <v>806</v>
      </c>
      <c r="G663" t="s">
        <v>1599</v>
      </c>
      <c r="H663" t="s">
        <v>42</v>
      </c>
      <c r="I663" s="4">
        <v>27313.16564242604</v>
      </c>
      <c r="J663">
        <v>367</v>
      </c>
      <c r="K663" t="s">
        <v>34</v>
      </c>
      <c r="L663" s="6">
        <v>45375</v>
      </c>
      <c r="M663" t="s">
        <v>50</v>
      </c>
      <c r="N663" t="s">
        <v>1746</v>
      </c>
      <c r="O663" t="s">
        <v>114</v>
      </c>
      <c r="P663">
        <v>23</v>
      </c>
      <c r="Q663" t="s">
        <v>48</v>
      </c>
    </row>
    <row r="664" spans="1:17">
      <c r="A664">
        <v>29</v>
      </c>
      <c r="B664" t="s">
        <v>138</v>
      </c>
      <c r="C664" t="s">
        <v>139</v>
      </c>
      <c r="D664" t="s">
        <v>28</v>
      </c>
      <c r="E664" s="6">
        <v>45365</v>
      </c>
      <c r="F664" t="s">
        <v>807</v>
      </c>
      <c r="G664" t="s">
        <v>1600</v>
      </c>
      <c r="H664" t="s">
        <v>41</v>
      </c>
      <c r="I664" s="4">
        <v>16334.25530454228</v>
      </c>
      <c r="J664">
        <v>134</v>
      </c>
      <c r="K664" t="s">
        <v>36</v>
      </c>
      <c r="L664" s="6">
        <v>45389</v>
      </c>
      <c r="M664" t="s">
        <v>51</v>
      </c>
      <c r="N664" t="s">
        <v>1748</v>
      </c>
      <c r="O664" t="s">
        <v>114</v>
      </c>
      <c r="P664">
        <v>24</v>
      </c>
      <c r="Q664" t="s">
        <v>45</v>
      </c>
    </row>
    <row r="665" spans="1:17">
      <c r="A665">
        <v>56</v>
      </c>
      <c r="B665" t="s">
        <v>137</v>
      </c>
      <c r="C665" t="s">
        <v>143</v>
      </c>
      <c r="D665" t="s">
        <v>28</v>
      </c>
      <c r="E665" s="6">
        <v>45352</v>
      </c>
      <c r="F665" t="s">
        <v>808</v>
      </c>
      <c r="G665" t="s">
        <v>1601</v>
      </c>
      <c r="H665" t="s">
        <v>42</v>
      </c>
      <c r="I665" s="4">
        <v>17862.31536068784</v>
      </c>
      <c r="J665">
        <v>359</v>
      </c>
      <c r="K665" t="s">
        <v>34</v>
      </c>
      <c r="L665" s="6">
        <v>45375</v>
      </c>
      <c r="M665" t="s">
        <v>54</v>
      </c>
      <c r="N665" t="s">
        <v>1748</v>
      </c>
      <c r="O665" t="s">
        <v>114</v>
      </c>
      <c r="P665">
        <v>23</v>
      </c>
      <c r="Q665" t="s">
        <v>47</v>
      </c>
    </row>
    <row r="666" spans="1:17">
      <c r="A666">
        <v>24</v>
      </c>
      <c r="B666" t="s">
        <v>137</v>
      </c>
      <c r="C666" t="s">
        <v>146</v>
      </c>
      <c r="D666" t="s">
        <v>30</v>
      </c>
      <c r="E666" s="6">
        <v>45360</v>
      </c>
      <c r="F666" t="s">
        <v>809</v>
      </c>
      <c r="G666" t="s">
        <v>1602</v>
      </c>
      <c r="H666" t="s">
        <v>38</v>
      </c>
      <c r="I666" s="4">
        <v>27772.05066901959</v>
      </c>
      <c r="J666">
        <v>209</v>
      </c>
      <c r="K666" t="s">
        <v>34</v>
      </c>
      <c r="L666" s="6">
        <v>45367</v>
      </c>
      <c r="M666" t="s">
        <v>50</v>
      </c>
      <c r="N666" t="s">
        <v>1746</v>
      </c>
      <c r="O666" t="s">
        <v>114</v>
      </c>
      <c r="P666">
        <v>7</v>
      </c>
      <c r="Q666" t="s">
        <v>45</v>
      </c>
    </row>
    <row r="667" spans="1:17">
      <c r="A667">
        <v>34</v>
      </c>
      <c r="B667" t="s">
        <v>138</v>
      </c>
      <c r="C667" t="s">
        <v>139</v>
      </c>
      <c r="D667" t="s">
        <v>27</v>
      </c>
      <c r="E667" s="6">
        <v>45382</v>
      </c>
      <c r="F667" t="s">
        <v>810</v>
      </c>
      <c r="G667" t="s">
        <v>1603</v>
      </c>
      <c r="H667" t="s">
        <v>41</v>
      </c>
      <c r="I667" s="4">
        <v>17787.94924716722</v>
      </c>
      <c r="J667">
        <v>291</v>
      </c>
      <c r="K667" t="s">
        <v>36</v>
      </c>
      <c r="L667" s="6">
        <v>45403</v>
      </c>
      <c r="M667" t="s">
        <v>54</v>
      </c>
      <c r="N667" t="s">
        <v>1748</v>
      </c>
      <c r="O667" t="s">
        <v>114</v>
      </c>
      <c r="P667">
        <v>21</v>
      </c>
      <c r="Q667" t="s">
        <v>45</v>
      </c>
    </row>
    <row r="668" spans="1:17">
      <c r="A668">
        <v>29</v>
      </c>
      <c r="B668" t="s">
        <v>138</v>
      </c>
      <c r="C668" t="s">
        <v>145</v>
      </c>
      <c r="D668" t="s">
        <v>32</v>
      </c>
      <c r="E668" s="6">
        <v>45359</v>
      </c>
      <c r="F668" t="s">
        <v>811</v>
      </c>
      <c r="G668" t="s">
        <v>1604</v>
      </c>
      <c r="H668" t="s">
        <v>40</v>
      </c>
      <c r="I668" s="4">
        <v>50566.3621218034</v>
      </c>
      <c r="J668">
        <v>358</v>
      </c>
      <c r="K668" t="s">
        <v>34</v>
      </c>
      <c r="L668" s="6">
        <v>45371</v>
      </c>
      <c r="M668" t="s">
        <v>53</v>
      </c>
      <c r="N668" t="s">
        <v>1748</v>
      </c>
      <c r="O668" t="s">
        <v>114</v>
      </c>
      <c r="P668">
        <v>12</v>
      </c>
      <c r="Q668" t="s">
        <v>45</v>
      </c>
    </row>
    <row r="669" spans="1:17">
      <c r="A669">
        <v>41</v>
      </c>
      <c r="B669" t="s">
        <v>138</v>
      </c>
      <c r="C669" t="s">
        <v>139</v>
      </c>
      <c r="D669" t="s">
        <v>31</v>
      </c>
      <c r="E669" s="6">
        <v>45378</v>
      </c>
      <c r="F669" t="s">
        <v>812</v>
      </c>
      <c r="G669" t="s">
        <v>1605</v>
      </c>
      <c r="H669" t="s">
        <v>41</v>
      </c>
      <c r="I669" s="4">
        <v>31862.11925154133</v>
      </c>
      <c r="J669">
        <v>124</v>
      </c>
      <c r="K669" t="s">
        <v>35</v>
      </c>
      <c r="L669" s="6">
        <v>45407</v>
      </c>
      <c r="M669" t="s">
        <v>51</v>
      </c>
      <c r="N669" t="s">
        <v>1748</v>
      </c>
      <c r="O669" t="s">
        <v>114</v>
      </c>
      <c r="P669">
        <v>29</v>
      </c>
      <c r="Q669" t="s">
        <v>46</v>
      </c>
    </row>
    <row r="670" spans="1:17">
      <c r="A670">
        <v>57</v>
      </c>
      <c r="B670" t="s">
        <v>138</v>
      </c>
      <c r="C670" t="s">
        <v>141</v>
      </c>
      <c r="D670" t="s">
        <v>32</v>
      </c>
      <c r="E670" s="6">
        <v>45369</v>
      </c>
      <c r="F670" t="s">
        <v>813</v>
      </c>
      <c r="G670" t="s">
        <v>1606</v>
      </c>
      <c r="H670" t="s">
        <v>40</v>
      </c>
      <c r="I670" s="4">
        <v>6446.806188476205</v>
      </c>
      <c r="J670">
        <v>175</v>
      </c>
      <c r="K670" t="s">
        <v>34</v>
      </c>
      <c r="L670" s="6">
        <v>45384</v>
      </c>
      <c r="M670" t="s">
        <v>52</v>
      </c>
      <c r="N670" t="s">
        <v>1748</v>
      </c>
      <c r="O670" t="s">
        <v>114</v>
      </c>
      <c r="P670">
        <v>15</v>
      </c>
      <c r="Q670" t="s">
        <v>47</v>
      </c>
    </row>
    <row r="671" spans="1:17">
      <c r="A671">
        <v>46</v>
      </c>
      <c r="B671" t="s">
        <v>137</v>
      </c>
      <c r="C671" t="s">
        <v>142</v>
      </c>
      <c r="D671" t="s">
        <v>27</v>
      </c>
      <c r="E671" s="6">
        <v>45377</v>
      </c>
      <c r="F671" t="s">
        <v>814</v>
      </c>
      <c r="G671" t="s">
        <v>1607</v>
      </c>
      <c r="H671" t="s">
        <v>40</v>
      </c>
      <c r="I671" s="4">
        <v>45160.38254635262</v>
      </c>
      <c r="J671">
        <v>228</v>
      </c>
      <c r="K671" t="s">
        <v>35</v>
      </c>
      <c r="L671" s="6">
        <v>45390</v>
      </c>
      <c r="M671" t="s">
        <v>53</v>
      </c>
      <c r="N671" t="s">
        <v>1748</v>
      </c>
      <c r="O671" t="s">
        <v>114</v>
      </c>
      <c r="P671">
        <v>13</v>
      </c>
      <c r="Q671" t="s">
        <v>46</v>
      </c>
    </row>
    <row r="672" spans="1:17">
      <c r="A672">
        <v>58</v>
      </c>
      <c r="B672" t="s">
        <v>138</v>
      </c>
      <c r="C672" t="s">
        <v>140</v>
      </c>
      <c r="D672" t="s">
        <v>32</v>
      </c>
      <c r="E672" s="6">
        <v>45365</v>
      </c>
      <c r="F672" t="s">
        <v>815</v>
      </c>
      <c r="G672" t="s">
        <v>1608</v>
      </c>
      <c r="H672" t="s">
        <v>38</v>
      </c>
      <c r="I672" s="4">
        <v>46979.00692092442</v>
      </c>
      <c r="J672">
        <v>498</v>
      </c>
      <c r="K672" t="s">
        <v>36</v>
      </c>
      <c r="L672" s="6">
        <v>45386</v>
      </c>
      <c r="M672" t="s">
        <v>51</v>
      </c>
      <c r="N672" t="s">
        <v>1748</v>
      </c>
      <c r="O672" t="s">
        <v>114</v>
      </c>
      <c r="P672">
        <v>21</v>
      </c>
      <c r="Q672" t="s">
        <v>47</v>
      </c>
    </row>
    <row r="673" spans="1:17">
      <c r="A673">
        <v>48</v>
      </c>
      <c r="B673" t="s">
        <v>138</v>
      </c>
      <c r="C673" t="s">
        <v>144</v>
      </c>
      <c r="D673" t="s">
        <v>31</v>
      </c>
      <c r="E673" s="6">
        <v>45366</v>
      </c>
      <c r="F673" t="s">
        <v>816</v>
      </c>
      <c r="G673" t="s">
        <v>1609</v>
      </c>
      <c r="H673" t="s">
        <v>42</v>
      </c>
      <c r="I673" s="4">
        <v>39347.87925056335</v>
      </c>
      <c r="J673">
        <v>135</v>
      </c>
      <c r="K673" t="s">
        <v>36</v>
      </c>
      <c r="L673" s="6">
        <v>45381</v>
      </c>
      <c r="M673" t="s">
        <v>52</v>
      </c>
      <c r="N673" t="s">
        <v>1747</v>
      </c>
      <c r="O673" t="s">
        <v>114</v>
      </c>
      <c r="P673">
        <v>15</v>
      </c>
      <c r="Q673" t="s">
        <v>46</v>
      </c>
    </row>
    <row r="674" spans="1:17">
      <c r="A674">
        <v>72</v>
      </c>
      <c r="B674" t="s">
        <v>138</v>
      </c>
      <c r="C674" t="s">
        <v>140</v>
      </c>
      <c r="D674" t="s">
        <v>28</v>
      </c>
      <c r="E674" s="6">
        <v>45382</v>
      </c>
      <c r="F674" t="s">
        <v>817</v>
      </c>
      <c r="G674" t="s">
        <v>1610</v>
      </c>
      <c r="H674" t="s">
        <v>42</v>
      </c>
      <c r="I674" s="4">
        <v>10590.45882890859</v>
      </c>
      <c r="J674">
        <v>190</v>
      </c>
      <c r="K674" t="s">
        <v>36</v>
      </c>
      <c r="L674" s="6">
        <v>45388</v>
      </c>
      <c r="M674" t="s">
        <v>51</v>
      </c>
      <c r="N674" t="s">
        <v>1747</v>
      </c>
      <c r="O674" t="s">
        <v>114</v>
      </c>
      <c r="P674">
        <v>6</v>
      </c>
      <c r="Q674" t="s">
        <v>48</v>
      </c>
    </row>
    <row r="675" spans="1:17">
      <c r="A675">
        <v>53</v>
      </c>
      <c r="B675" t="s">
        <v>138</v>
      </c>
      <c r="C675" t="s">
        <v>140</v>
      </c>
      <c r="D675" t="s">
        <v>27</v>
      </c>
      <c r="E675" s="6">
        <v>45373</v>
      </c>
      <c r="F675" t="s">
        <v>818</v>
      </c>
      <c r="G675" t="s">
        <v>1611</v>
      </c>
      <c r="H675" t="s">
        <v>42</v>
      </c>
      <c r="I675" s="4">
        <v>9024.092301181296</v>
      </c>
      <c r="J675">
        <v>178</v>
      </c>
      <c r="K675" t="s">
        <v>36</v>
      </c>
      <c r="L675" s="6">
        <v>45390</v>
      </c>
      <c r="M675" t="s">
        <v>53</v>
      </c>
      <c r="N675" t="s">
        <v>1746</v>
      </c>
      <c r="O675" t="s">
        <v>114</v>
      </c>
      <c r="P675">
        <v>17</v>
      </c>
      <c r="Q675" t="s">
        <v>47</v>
      </c>
    </row>
    <row r="676" spans="1:17">
      <c r="A676">
        <v>24</v>
      </c>
      <c r="B676" t="s">
        <v>138</v>
      </c>
      <c r="C676" t="s">
        <v>146</v>
      </c>
      <c r="D676" t="s">
        <v>28</v>
      </c>
      <c r="E676" s="6">
        <v>45380</v>
      </c>
      <c r="F676" t="s">
        <v>819</v>
      </c>
      <c r="G676" t="s">
        <v>1612</v>
      </c>
      <c r="H676" t="s">
        <v>41</v>
      </c>
      <c r="I676" s="4">
        <v>17192.09782857012</v>
      </c>
      <c r="J676">
        <v>260</v>
      </c>
      <c r="K676" t="s">
        <v>36</v>
      </c>
      <c r="L676" s="6">
        <v>45409</v>
      </c>
      <c r="M676" t="s">
        <v>54</v>
      </c>
      <c r="N676" t="s">
        <v>1747</v>
      </c>
      <c r="O676" t="s">
        <v>114</v>
      </c>
      <c r="P676">
        <v>29</v>
      </c>
      <c r="Q676" t="s">
        <v>45</v>
      </c>
    </row>
    <row r="677" spans="1:17">
      <c r="A677">
        <v>58</v>
      </c>
      <c r="B677" t="s">
        <v>137</v>
      </c>
      <c r="C677" t="s">
        <v>139</v>
      </c>
      <c r="D677" t="s">
        <v>32</v>
      </c>
      <c r="E677" s="6">
        <v>45374</v>
      </c>
      <c r="F677" t="s">
        <v>820</v>
      </c>
      <c r="G677" t="s">
        <v>1613</v>
      </c>
      <c r="H677" t="s">
        <v>39</v>
      </c>
      <c r="I677" s="4">
        <v>2912.237362714937</v>
      </c>
      <c r="J677">
        <v>437</v>
      </c>
      <c r="K677" t="s">
        <v>35</v>
      </c>
      <c r="L677" s="6">
        <v>45375</v>
      </c>
      <c r="M677" t="s">
        <v>54</v>
      </c>
      <c r="N677" t="s">
        <v>1747</v>
      </c>
      <c r="O677" t="s">
        <v>114</v>
      </c>
      <c r="P677">
        <v>1</v>
      </c>
      <c r="Q677" t="s">
        <v>47</v>
      </c>
    </row>
    <row r="678" spans="1:17">
      <c r="A678">
        <v>21</v>
      </c>
      <c r="B678" t="s">
        <v>137</v>
      </c>
      <c r="C678" t="s">
        <v>144</v>
      </c>
      <c r="D678" t="s">
        <v>29</v>
      </c>
      <c r="E678" s="6">
        <v>45377</v>
      </c>
      <c r="F678" t="s">
        <v>821</v>
      </c>
      <c r="G678" t="s">
        <v>1614</v>
      </c>
      <c r="H678" t="s">
        <v>41</v>
      </c>
      <c r="I678" s="4">
        <v>17488.61877561547</v>
      </c>
      <c r="J678">
        <v>449</v>
      </c>
      <c r="K678" t="s">
        <v>35</v>
      </c>
      <c r="L678" s="6">
        <v>45402</v>
      </c>
      <c r="M678" t="s">
        <v>51</v>
      </c>
      <c r="N678" t="s">
        <v>1748</v>
      </c>
      <c r="O678" t="s">
        <v>114</v>
      </c>
      <c r="P678">
        <v>25</v>
      </c>
      <c r="Q678" t="s">
        <v>45</v>
      </c>
    </row>
    <row r="679" spans="1:17">
      <c r="A679">
        <v>53</v>
      </c>
      <c r="B679" t="s">
        <v>137</v>
      </c>
      <c r="C679" t="s">
        <v>140</v>
      </c>
      <c r="D679" t="s">
        <v>27</v>
      </c>
      <c r="E679" s="6">
        <v>45368</v>
      </c>
      <c r="F679" t="s">
        <v>822</v>
      </c>
      <c r="G679" t="s">
        <v>1615</v>
      </c>
      <c r="H679" t="s">
        <v>41</v>
      </c>
      <c r="I679" s="4">
        <v>32634.8890423642</v>
      </c>
      <c r="J679">
        <v>363</v>
      </c>
      <c r="K679" t="s">
        <v>35</v>
      </c>
      <c r="L679" s="6">
        <v>45386</v>
      </c>
      <c r="M679" t="s">
        <v>50</v>
      </c>
      <c r="N679" t="s">
        <v>1746</v>
      </c>
      <c r="O679" t="s">
        <v>114</v>
      </c>
      <c r="P679">
        <v>18</v>
      </c>
      <c r="Q679" t="s">
        <v>47</v>
      </c>
    </row>
    <row r="680" spans="1:17">
      <c r="A680">
        <v>18</v>
      </c>
      <c r="B680" t="s">
        <v>138</v>
      </c>
      <c r="C680" t="s">
        <v>142</v>
      </c>
      <c r="D680" t="s">
        <v>32</v>
      </c>
      <c r="E680" s="6">
        <v>45369</v>
      </c>
      <c r="F680" t="s">
        <v>823</v>
      </c>
      <c r="G680" t="s">
        <v>1616</v>
      </c>
      <c r="H680" t="s">
        <v>42</v>
      </c>
      <c r="I680" s="4">
        <v>10837.64865323164</v>
      </c>
      <c r="J680">
        <v>317</v>
      </c>
      <c r="K680" t="s">
        <v>34</v>
      </c>
      <c r="L680" s="6">
        <v>45375</v>
      </c>
      <c r="M680" t="s">
        <v>54</v>
      </c>
      <c r="N680" t="s">
        <v>1748</v>
      </c>
      <c r="O680" t="s">
        <v>114</v>
      </c>
      <c r="P680">
        <v>6</v>
      </c>
      <c r="Q680" t="s">
        <v>44</v>
      </c>
    </row>
    <row r="681" spans="1:17">
      <c r="A681">
        <v>20</v>
      </c>
      <c r="B681" t="s">
        <v>138</v>
      </c>
      <c r="C681" t="s">
        <v>140</v>
      </c>
      <c r="D681" t="s">
        <v>29</v>
      </c>
      <c r="E681" s="6">
        <v>45380</v>
      </c>
      <c r="F681" t="s">
        <v>824</v>
      </c>
      <c r="G681" t="s">
        <v>1617</v>
      </c>
      <c r="H681" t="s">
        <v>40</v>
      </c>
      <c r="I681" s="4">
        <v>23795.08657426298</v>
      </c>
      <c r="J681">
        <v>432</v>
      </c>
      <c r="K681" t="s">
        <v>36</v>
      </c>
      <c r="L681" s="6">
        <v>45391</v>
      </c>
      <c r="M681" t="s">
        <v>52</v>
      </c>
      <c r="N681" t="s">
        <v>1746</v>
      </c>
      <c r="O681" t="s">
        <v>114</v>
      </c>
      <c r="P681">
        <v>11</v>
      </c>
      <c r="Q681" t="s">
        <v>45</v>
      </c>
    </row>
    <row r="682" spans="1:17">
      <c r="A682">
        <v>56</v>
      </c>
      <c r="B682" t="s">
        <v>138</v>
      </c>
      <c r="C682" t="s">
        <v>140</v>
      </c>
      <c r="D682" t="s">
        <v>27</v>
      </c>
      <c r="E682" s="6">
        <v>45369</v>
      </c>
      <c r="F682" t="s">
        <v>825</v>
      </c>
      <c r="G682" t="s">
        <v>1618</v>
      </c>
      <c r="H682" t="s">
        <v>39</v>
      </c>
      <c r="I682" s="4">
        <v>8590.705207667359</v>
      </c>
      <c r="J682">
        <v>258</v>
      </c>
      <c r="K682" t="s">
        <v>36</v>
      </c>
      <c r="L682" s="6">
        <v>45395</v>
      </c>
      <c r="M682" t="s">
        <v>52</v>
      </c>
      <c r="N682" t="s">
        <v>1746</v>
      </c>
      <c r="O682" t="s">
        <v>114</v>
      </c>
      <c r="P682">
        <v>26</v>
      </c>
      <c r="Q682" t="s">
        <v>47</v>
      </c>
    </row>
    <row r="683" spans="1:17">
      <c r="A683">
        <v>43</v>
      </c>
      <c r="B683" t="s">
        <v>137</v>
      </c>
      <c r="C683" t="s">
        <v>140</v>
      </c>
      <c r="D683" t="s">
        <v>28</v>
      </c>
      <c r="E683" s="6">
        <v>45364</v>
      </c>
      <c r="F683" t="s">
        <v>826</v>
      </c>
      <c r="G683" t="s">
        <v>1619</v>
      </c>
      <c r="H683" t="s">
        <v>38</v>
      </c>
      <c r="I683" s="4">
        <v>6125.976721088471</v>
      </c>
      <c r="J683">
        <v>409</v>
      </c>
      <c r="K683" t="s">
        <v>36</v>
      </c>
      <c r="L683" s="6">
        <v>45381</v>
      </c>
      <c r="M683" t="s">
        <v>54</v>
      </c>
      <c r="N683" t="s">
        <v>1748</v>
      </c>
      <c r="O683" t="s">
        <v>114</v>
      </c>
      <c r="P683">
        <v>17</v>
      </c>
      <c r="Q683" t="s">
        <v>46</v>
      </c>
    </row>
    <row r="684" spans="1:17">
      <c r="A684">
        <v>55</v>
      </c>
      <c r="B684" t="s">
        <v>137</v>
      </c>
      <c r="C684" t="s">
        <v>139</v>
      </c>
      <c r="D684" t="s">
        <v>29</v>
      </c>
      <c r="E684" s="6">
        <v>45368</v>
      </c>
      <c r="F684" t="s">
        <v>827</v>
      </c>
      <c r="G684" t="s">
        <v>1620</v>
      </c>
      <c r="H684" t="s">
        <v>39</v>
      </c>
      <c r="I684" s="4">
        <v>6734.963826417474</v>
      </c>
      <c r="J684">
        <v>336</v>
      </c>
      <c r="K684" t="s">
        <v>36</v>
      </c>
      <c r="L684" s="6">
        <v>45396</v>
      </c>
      <c r="M684" t="s">
        <v>51</v>
      </c>
      <c r="N684" t="s">
        <v>1746</v>
      </c>
      <c r="O684" t="s">
        <v>114</v>
      </c>
      <c r="P684">
        <v>28</v>
      </c>
      <c r="Q684" t="s">
        <v>47</v>
      </c>
    </row>
    <row r="685" spans="1:17">
      <c r="A685">
        <v>36</v>
      </c>
      <c r="B685" t="s">
        <v>137</v>
      </c>
      <c r="C685" t="s">
        <v>145</v>
      </c>
      <c r="D685" t="s">
        <v>32</v>
      </c>
      <c r="E685" s="6">
        <v>45382</v>
      </c>
      <c r="F685" t="s">
        <v>828</v>
      </c>
      <c r="G685" t="s">
        <v>1621</v>
      </c>
      <c r="H685" t="s">
        <v>38</v>
      </c>
      <c r="I685" s="4">
        <v>35079.40655428644</v>
      </c>
      <c r="J685">
        <v>240</v>
      </c>
      <c r="K685" t="s">
        <v>35</v>
      </c>
      <c r="L685" s="6">
        <v>45397</v>
      </c>
      <c r="M685" t="s">
        <v>54</v>
      </c>
      <c r="N685" t="s">
        <v>1746</v>
      </c>
      <c r="O685" t="s">
        <v>114</v>
      </c>
      <c r="P685">
        <v>15</v>
      </c>
      <c r="Q685" t="s">
        <v>46</v>
      </c>
    </row>
    <row r="686" spans="1:17">
      <c r="A686">
        <v>40</v>
      </c>
      <c r="B686" t="s">
        <v>137</v>
      </c>
      <c r="C686" t="s">
        <v>142</v>
      </c>
      <c r="D686" t="s">
        <v>30</v>
      </c>
      <c r="E686" s="6">
        <v>45355</v>
      </c>
      <c r="F686" t="s">
        <v>829</v>
      </c>
      <c r="G686" t="s">
        <v>1622</v>
      </c>
      <c r="H686" t="s">
        <v>38</v>
      </c>
      <c r="I686" s="4">
        <v>33452.72956461446</v>
      </c>
      <c r="J686">
        <v>200</v>
      </c>
      <c r="K686" t="s">
        <v>35</v>
      </c>
      <c r="L686" s="6">
        <v>45358</v>
      </c>
      <c r="M686" t="s">
        <v>54</v>
      </c>
      <c r="N686" t="s">
        <v>1747</v>
      </c>
      <c r="O686" t="s">
        <v>114</v>
      </c>
      <c r="P686">
        <v>3</v>
      </c>
      <c r="Q686" t="s">
        <v>46</v>
      </c>
    </row>
    <row r="687" spans="1:17">
      <c r="A687">
        <v>71</v>
      </c>
      <c r="B687" t="s">
        <v>138</v>
      </c>
      <c r="C687" t="s">
        <v>139</v>
      </c>
      <c r="D687" t="s">
        <v>29</v>
      </c>
      <c r="E687" s="6">
        <v>45364</v>
      </c>
      <c r="F687" t="s">
        <v>830</v>
      </c>
      <c r="G687" t="s">
        <v>1623</v>
      </c>
      <c r="H687" t="s">
        <v>38</v>
      </c>
      <c r="I687" s="4">
        <v>39538.46948663671</v>
      </c>
      <c r="J687">
        <v>392</v>
      </c>
      <c r="K687" t="s">
        <v>34</v>
      </c>
      <c r="L687" s="6">
        <v>45378</v>
      </c>
      <c r="M687" t="s">
        <v>52</v>
      </c>
      <c r="N687" t="s">
        <v>1747</v>
      </c>
      <c r="O687" t="s">
        <v>114</v>
      </c>
      <c r="P687">
        <v>14</v>
      </c>
      <c r="Q687" t="s">
        <v>48</v>
      </c>
    </row>
    <row r="688" spans="1:17">
      <c r="A688">
        <v>45</v>
      </c>
      <c r="B688" t="s">
        <v>137</v>
      </c>
      <c r="C688" t="s">
        <v>146</v>
      </c>
      <c r="D688" t="s">
        <v>27</v>
      </c>
      <c r="E688" s="6">
        <v>45365</v>
      </c>
      <c r="F688" t="s">
        <v>831</v>
      </c>
      <c r="G688" t="s">
        <v>1624</v>
      </c>
      <c r="H688" t="s">
        <v>40</v>
      </c>
      <c r="I688" s="4">
        <v>23105.67229478862</v>
      </c>
      <c r="J688">
        <v>395</v>
      </c>
      <c r="K688" t="s">
        <v>35</v>
      </c>
      <c r="L688" s="6">
        <v>45375</v>
      </c>
      <c r="M688" t="s">
        <v>50</v>
      </c>
      <c r="N688" t="s">
        <v>1746</v>
      </c>
      <c r="O688" t="s">
        <v>114</v>
      </c>
      <c r="P688">
        <v>10</v>
      </c>
      <c r="Q688" t="s">
        <v>46</v>
      </c>
    </row>
    <row r="689" spans="1:17">
      <c r="A689">
        <v>57</v>
      </c>
      <c r="B689" t="s">
        <v>137</v>
      </c>
      <c r="C689" t="s">
        <v>142</v>
      </c>
      <c r="D689" t="s">
        <v>28</v>
      </c>
      <c r="E689" s="6">
        <v>45361</v>
      </c>
      <c r="F689" t="s">
        <v>832</v>
      </c>
      <c r="G689" t="s">
        <v>1625</v>
      </c>
      <c r="H689" t="s">
        <v>39</v>
      </c>
      <c r="I689" s="4">
        <v>38782.05327584196</v>
      </c>
      <c r="J689">
        <v>357</v>
      </c>
      <c r="K689" t="s">
        <v>35</v>
      </c>
      <c r="L689" s="6">
        <v>45384</v>
      </c>
      <c r="M689" t="s">
        <v>51</v>
      </c>
      <c r="N689" t="s">
        <v>1748</v>
      </c>
      <c r="O689" t="s">
        <v>114</v>
      </c>
      <c r="P689">
        <v>23</v>
      </c>
      <c r="Q689" t="s">
        <v>47</v>
      </c>
    </row>
    <row r="690" spans="1:17">
      <c r="A690">
        <v>30</v>
      </c>
      <c r="B690" t="s">
        <v>138</v>
      </c>
      <c r="C690" t="s">
        <v>144</v>
      </c>
      <c r="D690" t="s">
        <v>31</v>
      </c>
      <c r="E690" s="6">
        <v>45357</v>
      </c>
      <c r="F690" t="s">
        <v>833</v>
      </c>
      <c r="G690" t="s">
        <v>1626</v>
      </c>
      <c r="H690" t="s">
        <v>42</v>
      </c>
      <c r="I690" s="4">
        <v>16723.18739726635</v>
      </c>
      <c r="J690">
        <v>116</v>
      </c>
      <c r="K690" t="s">
        <v>34</v>
      </c>
      <c r="L690" s="6">
        <v>45377</v>
      </c>
      <c r="M690" t="s">
        <v>52</v>
      </c>
      <c r="N690" t="s">
        <v>1748</v>
      </c>
      <c r="O690" t="s">
        <v>114</v>
      </c>
      <c r="P690">
        <v>20</v>
      </c>
      <c r="Q690" t="s">
        <v>45</v>
      </c>
    </row>
    <row r="691" spans="1:17">
      <c r="A691">
        <v>44</v>
      </c>
      <c r="B691" t="s">
        <v>137</v>
      </c>
      <c r="C691" t="s">
        <v>144</v>
      </c>
      <c r="D691" t="s">
        <v>32</v>
      </c>
      <c r="E691" s="6">
        <v>45375</v>
      </c>
      <c r="F691" t="s">
        <v>834</v>
      </c>
      <c r="G691" t="s">
        <v>1627</v>
      </c>
      <c r="H691" t="s">
        <v>39</v>
      </c>
      <c r="I691" s="4">
        <v>26080.28249306944</v>
      </c>
      <c r="J691">
        <v>312</v>
      </c>
      <c r="K691" t="s">
        <v>34</v>
      </c>
      <c r="L691" s="6">
        <v>45399</v>
      </c>
      <c r="M691" t="s">
        <v>53</v>
      </c>
      <c r="N691" t="s">
        <v>1748</v>
      </c>
      <c r="O691" t="s">
        <v>114</v>
      </c>
      <c r="P691">
        <v>24</v>
      </c>
      <c r="Q691" t="s">
        <v>46</v>
      </c>
    </row>
    <row r="692" spans="1:17">
      <c r="A692">
        <v>32</v>
      </c>
      <c r="B692" t="s">
        <v>137</v>
      </c>
      <c r="C692" t="s">
        <v>141</v>
      </c>
      <c r="D692" t="s">
        <v>30</v>
      </c>
      <c r="E692" s="6">
        <v>45377</v>
      </c>
      <c r="F692" t="s">
        <v>835</v>
      </c>
      <c r="G692" t="s">
        <v>1628</v>
      </c>
      <c r="H692" t="s">
        <v>38</v>
      </c>
      <c r="I692" s="4">
        <v>44932.1924157375</v>
      </c>
      <c r="J692">
        <v>210</v>
      </c>
      <c r="K692" t="s">
        <v>36</v>
      </c>
      <c r="L692" s="6">
        <v>45405</v>
      </c>
      <c r="M692" t="s">
        <v>53</v>
      </c>
      <c r="N692" t="s">
        <v>1746</v>
      </c>
      <c r="O692" t="s">
        <v>114</v>
      </c>
      <c r="P692">
        <v>28</v>
      </c>
      <c r="Q692" t="s">
        <v>45</v>
      </c>
    </row>
    <row r="693" spans="1:17">
      <c r="A693">
        <v>24</v>
      </c>
      <c r="B693" t="s">
        <v>138</v>
      </c>
      <c r="C693" t="s">
        <v>146</v>
      </c>
      <c r="D693" t="s">
        <v>31</v>
      </c>
      <c r="E693" s="6">
        <v>45373</v>
      </c>
      <c r="F693" t="s">
        <v>836</v>
      </c>
      <c r="G693" t="s">
        <v>1629</v>
      </c>
      <c r="H693" t="s">
        <v>41</v>
      </c>
      <c r="I693" s="4">
        <v>26269.64838586486</v>
      </c>
      <c r="J693">
        <v>373</v>
      </c>
      <c r="K693" t="s">
        <v>35</v>
      </c>
      <c r="L693" s="6">
        <v>45396</v>
      </c>
      <c r="M693" t="s">
        <v>53</v>
      </c>
      <c r="N693" t="s">
        <v>1747</v>
      </c>
      <c r="O693" t="s">
        <v>114</v>
      </c>
      <c r="P693">
        <v>23</v>
      </c>
      <c r="Q693" t="s">
        <v>45</v>
      </c>
    </row>
    <row r="694" spans="1:17">
      <c r="A694">
        <v>60</v>
      </c>
      <c r="B694" t="s">
        <v>137</v>
      </c>
      <c r="C694" t="s">
        <v>141</v>
      </c>
      <c r="D694" t="s">
        <v>28</v>
      </c>
      <c r="E694" s="6">
        <v>45381</v>
      </c>
      <c r="F694" t="s">
        <v>837</v>
      </c>
      <c r="G694" t="s">
        <v>1630</v>
      </c>
      <c r="H694" t="s">
        <v>39</v>
      </c>
      <c r="I694" s="4">
        <v>15622.86019415493</v>
      </c>
      <c r="J694">
        <v>399</v>
      </c>
      <c r="K694" t="s">
        <v>36</v>
      </c>
      <c r="L694" s="6">
        <v>45389</v>
      </c>
      <c r="M694" t="s">
        <v>54</v>
      </c>
      <c r="N694" t="s">
        <v>1748</v>
      </c>
      <c r="O694" t="s">
        <v>114</v>
      </c>
      <c r="P694">
        <v>8</v>
      </c>
      <c r="Q694" t="s">
        <v>47</v>
      </c>
    </row>
    <row r="695" spans="1:17">
      <c r="A695">
        <v>34</v>
      </c>
      <c r="B695" t="s">
        <v>138</v>
      </c>
      <c r="C695" t="s">
        <v>141</v>
      </c>
      <c r="D695" t="s">
        <v>30</v>
      </c>
      <c r="E695" s="6">
        <v>45364</v>
      </c>
      <c r="F695" t="s">
        <v>838</v>
      </c>
      <c r="G695" t="s">
        <v>1631</v>
      </c>
      <c r="H695" t="s">
        <v>41</v>
      </c>
      <c r="I695" s="4">
        <v>42567.94352004818</v>
      </c>
      <c r="J695">
        <v>452</v>
      </c>
      <c r="K695" t="s">
        <v>36</v>
      </c>
      <c r="L695" s="6">
        <v>45383</v>
      </c>
      <c r="M695" t="s">
        <v>53</v>
      </c>
      <c r="N695" t="s">
        <v>1748</v>
      </c>
      <c r="O695" t="s">
        <v>114</v>
      </c>
      <c r="P695">
        <v>19</v>
      </c>
      <c r="Q695" t="s">
        <v>45</v>
      </c>
    </row>
    <row r="696" spans="1:17">
      <c r="A696">
        <v>42</v>
      </c>
      <c r="B696" t="s">
        <v>138</v>
      </c>
      <c r="C696" t="s">
        <v>140</v>
      </c>
      <c r="D696" t="s">
        <v>28</v>
      </c>
      <c r="E696" s="6">
        <v>45375</v>
      </c>
      <c r="F696" t="s">
        <v>839</v>
      </c>
      <c r="G696" t="s">
        <v>1632</v>
      </c>
      <c r="H696" t="s">
        <v>39</v>
      </c>
      <c r="I696" s="4">
        <v>21066.88568303716</v>
      </c>
      <c r="J696">
        <v>269</v>
      </c>
      <c r="K696" t="s">
        <v>36</v>
      </c>
      <c r="L696" s="6">
        <v>45398</v>
      </c>
      <c r="M696" t="s">
        <v>54</v>
      </c>
      <c r="N696" t="s">
        <v>1746</v>
      </c>
      <c r="O696" t="s">
        <v>114</v>
      </c>
      <c r="P696">
        <v>23</v>
      </c>
      <c r="Q696" t="s">
        <v>46</v>
      </c>
    </row>
    <row r="697" spans="1:17">
      <c r="A697">
        <v>19</v>
      </c>
      <c r="B697" t="s">
        <v>138</v>
      </c>
      <c r="C697" t="s">
        <v>141</v>
      </c>
      <c r="D697" t="s">
        <v>30</v>
      </c>
      <c r="E697" s="6">
        <v>45375</v>
      </c>
      <c r="F697" t="s">
        <v>840</v>
      </c>
      <c r="G697" t="s">
        <v>1633</v>
      </c>
      <c r="H697" t="s">
        <v>41</v>
      </c>
      <c r="I697" s="4">
        <v>5075.371902568356</v>
      </c>
      <c r="J697">
        <v>227</v>
      </c>
      <c r="K697" t="s">
        <v>35</v>
      </c>
      <c r="L697" s="6">
        <v>45389</v>
      </c>
      <c r="M697" t="s">
        <v>53</v>
      </c>
      <c r="N697" t="s">
        <v>1747</v>
      </c>
      <c r="O697" t="s">
        <v>114</v>
      </c>
      <c r="P697">
        <v>14</v>
      </c>
      <c r="Q697" t="s">
        <v>45</v>
      </c>
    </row>
    <row r="698" spans="1:17">
      <c r="A698">
        <v>61</v>
      </c>
      <c r="B698" t="s">
        <v>137</v>
      </c>
      <c r="C698" t="s">
        <v>141</v>
      </c>
      <c r="D698" t="s">
        <v>27</v>
      </c>
      <c r="E698" s="6">
        <v>45367</v>
      </c>
      <c r="F698" t="s">
        <v>841</v>
      </c>
      <c r="G698" t="s">
        <v>1634</v>
      </c>
      <c r="H698" t="s">
        <v>42</v>
      </c>
      <c r="I698" s="4">
        <v>22671.29998237271</v>
      </c>
      <c r="J698">
        <v>196</v>
      </c>
      <c r="K698" t="s">
        <v>34</v>
      </c>
      <c r="L698" s="6">
        <v>45395</v>
      </c>
      <c r="M698" t="s">
        <v>54</v>
      </c>
      <c r="N698" t="s">
        <v>1746</v>
      </c>
      <c r="O698" t="s">
        <v>114</v>
      </c>
      <c r="P698">
        <v>28</v>
      </c>
      <c r="Q698" t="s">
        <v>47</v>
      </c>
    </row>
    <row r="699" spans="1:17">
      <c r="A699">
        <v>69</v>
      </c>
      <c r="B699" t="s">
        <v>137</v>
      </c>
      <c r="C699" t="s">
        <v>145</v>
      </c>
      <c r="D699" t="s">
        <v>27</v>
      </c>
      <c r="E699" s="6">
        <v>45375</v>
      </c>
      <c r="F699" t="s">
        <v>842</v>
      </c>
      <c r="G699" t="s">
        <v>1635</v>
      </c>
      <c r="H699" t="s">
        <v>41</v>
      </c>
      <c r="I699" s="4">
        <v>21751.49377259088</v>
      </c>
      <c r="J699">
        <v>231</v>
      </c>
      <c r="K699" t="s">
        <v>34</v>
      </c>
      <c r="L699" s="6">
        <v>45400</v>
      </c>
      <c r="M699" t="s">
        <v>52</v>
      </c>
      <c r="N699" t="s">
        <v>1747</v>
      </c>
      <c r="O699" t="s">
        <v>114</v>
      </c>
      <c r="P699">
        <v>25</v>
      </c>
      <c r="Q699" t="s">
        <v>48</v>
      </c>
    </row>
    <row r="700" spans="1:17">
      <c r="A700">
        <v>18</v>
      </c>
      <c r="B700" t="s">
        <v>138</v>
      </c>
      <c r="C700" t="s">
        <v>144</v>
      </c>
      <c r="D700" t="s">
        <v>32</v>
      </c>
      <c r="E700" s="6">
        <v>45374</v>
      </c>
      <c r="F700" t="s">
        <v>843</v>
      </c>
      <c r="G700" t="s">
        <v>1636</v>
      </c>
      <c r="H700" t="s">
        <v>41</v>
      </c>
      <c r="I700" s="4">
        <v>41901.29595941753</v>
      </c>
      <c r="J700">
        <v>246</v>
      </c>
      <c r="K700" t="s">
        <v>36</v>
      </c>
      <c r="L700" s="6">
        <v>45398</v>
      </c>
      <c r="M700" t="s">
        <v>54</v>
      </c>
      <c r="N700" t="s">
        <v>1748</v>
      </c>
      <c r="O700" t="s">
        <v>114</v>
      </c>
      <c r="P700">
        <v>24</v>
      </c>
      <c r="Q700" t="s">
        <v>44</v>
      </c>
    </row>
    <row r="701" spans="1:17">
      <c r="A701">
        <v>48</v>
      </c>
      <c r="B701" t="s">
        <v>137</v>
      </c>
      <c r="C701" t="s">
        <v>146</v>
      </c>
      <c r="D701" t="s">
        <v>32</v>
      </c>
      <c r="E701" s="6">
        <v>45363</v>
      </c>
      <c r="F701" t="s">
        <v>844</v>
      </c>
      <c r="G701" t="s">
        <v>1637</v>
      </c>
      <c r="H701" t="s">
        <v>39</v>
      </c>
      <c r="I701" s="4">
        <v>18428.41132392624</v>
      </c>
      <c r="J701">
        <v>240</v>
      </c>
      <c r="K701" t="s">
        <v>34</v>
      </c>
      <c r="L701" s="6">
        <v>45366</v>
      </c>
      <c r="M701" t="s">
        <v>51</v>
      </c>
      <c r="N701" t="s">
        <v>1748</v>
      </c>
      <c r="O701" t="s">
        <v>114</v>
      </c>
      <c r="P701">
        <v>3</v>
      </c>
      <c r="Q701" t="s">
        <v>46</v>
      </c>
    </row>
    <row r="702" spans="1:17">
      <c r="A702">
        <v>45</v>
      </c>
      <c r="B702" t="s">
        <v>138</v>
      </c>
      <c r="C702" t="s">
        <v>146</v>
      </c>
      <c r="D702" t="s">
        <v>28</v>
      </c>
      <c r="E702" s="6">
        <v>45365</v>
      </c>
      <c r="F702" t="s">
        <v>845</v>
      </c>
      <c r="G702" t="s">
        <v>1638</v>
      </c>
      <c r="H702" t="s">
        <v>38</v>
      </c>
      <c r="I702" s="4">
        <v>6156.578947985862</v>
      </c>
      <c r="J702">
        <v>307</v>
      </c>
      <c r="K702" t="s">
        <v>36</v>
      </c>
      <c r="L702" s="6">
        <v>45369</v>
      </c>
      <c r="M702" t="s">
        <v>52</v>
      </c>
      <c r="N702" t="s">
        <v>1747</v>
      </c>
      <c r="O702" t="s">
        <v>114</v>
      </c>
      <c r="P702">
        <v>4</v>
      </c>
      <c r="Q702" t="s">
        <v>46</v>
      </c>
    </row>
    <row r="703" spans="1:17">
      <c r="A703">
        <v>63</v>
      </c>
      <c r="B703" t="s">
        <v>138</v>
      </c>
      <c r="C703" t="s">
        <v>145</v>
      </c>
      <c r="D703" t="s">
        <v>30</v>
      </c>
      <c r="E703" s="6">
        <v>45381</v>
      </c>
      <c r="F703" t="s">
        <v>846</v>
      </c>
      <c r="G703" t="s">
        <v>1639</v>
      </c>
      <c r="H703" t="s">
        <v>39</v>
      </c>
      <c r="I703" s="4">
        <v>25622.47191962674</v>
      </c>
      <c r="J703">
        <v>114</v>
      </c>
      <c r="K703" t="s">
        <v>34</v>
      </c>
      <c r="L703" s="6">
        <v>45398</v>
      </c>
      <c r="M703" t="s">
        <v>51</v>
      </c>
      <c r="N703" t="s">
        <v>1747</v>
      </c>
      <c r="O703" t="s">
        <v>114</v>
      </c>
      <c r="P703">
        <v>17</v>
      </c>
      <c r="Q703" t="s">
        <v>47</v>
      </c>
    </row>
    <row r="704" spans="1:17">
      <c r="A704">
        <v>75</v>
      </c>
      <c r="B704" t="s">
        <v>138</v>
      </c>
      <c r="C704" t="s">
        <v>142</v>
      </c>
      <c r="D704" t="s">
        <v>32</v>
      </c>
      <c r="E704" s="6">
        <v>45377</v>
      </c>
      <c r="F704" t="s">
        <v>847</v>
      </c>
      <c r="G704" t="s">
        <v>1640</v>
      </c>
      <c r="H704" t="s">
        <v>38</v>
      </c>
      <c r="I704" s="4">
        <v>37099.16278713378</v>
      </c>
      <c r="J704">
        <v>288</v>
      </c>
      <c r="K704" t="s">
        <v>35</v>
      </c>
      <c r="L704" s="6">
        <v>45383</v>
      </c>
      <c r="M704" t="s">
        <v>50</v>
      </c>
      <c r="N704" t="s">
        <v>1746</v>
      </c>
      <c r="O704" t="s">
        <v>114</v>
      </c>
      <c r="P704">
        <v>6</v>
      </c>
      <c r="Q704" t="s">
        <v>48</v>
      </c>
    </row>
    <row r="705" spans="1:17">
      <c r="A705">
        <v>78</v>
      </c>
      <c r="B705" t="s">
        <v>138</v>
      </c>
      <c r="C705" t="s">
        <v>146</v>
      </c>
      <c r="D705" t="s">
        <v>28</v>
      </c>
      <c r="E705" s="6">
        <v>45359</v>
      </c>
      <c r="F705" t="s">
        <v>848</v>
      </c>
      <c r="G705" t="s">
        <v>1641</v>
      </c>
      <c r="H705" t="s">
        <v>40</v>
      </c>
      <c r="I705" s="4">
        <v>32386.56094148951</v>
      </c>
      <c r="J705">
        <v>174</v>
      </c>
      <c r="K705" t="s">
        <v>35</v>
      </c>
      <c r="L705" s="6">
        <v>45382</v>
      </c>
      <c r="M705" t="s">
        <v>52</v>
      </c>
      <c r="N705" t="s">
        <v>1748</v>
      </c>
      <c r="O705" t="s">
        <v>114</v>
      </c>
      <c r="P705">
        <v>23</v>
      </c>
      <c r="Q705" t="s">
        <v>48</v>
      </c>
    </row>
    <row r="706" spans="1:17">
      <c r="A706">
        <v>30</v>
      </c>
      <c r="B706" t="s">
        <v>138</v>
      </c>
      <c r="C706" t="s">
        <v>143</v>
      </c>
      <c r="D706" t="s">
        <v>29</v>
      </c>
      <c r="E706" s="6">
        <v>45376</v>
      </c>
      <c r="F706" t="s">
        <v>849</v>
      </c>
      <c r="G706" t="s">
        <v>1642</v>
      </c>
      <c r="H706" t="s">
        <v>38</v>
      </c>
      <c r="I706" s="4">
        <v>7579.035212175972</v>
      </c>
      <c r="J706">
        <v>355</v>
      </c>
      <c r="K706" t="s">
        <v>36</v>
      </c>
      <c r="L706" s="6">
        <v>45377</v>
      </c>
      <c r="M706" t="s">
        <v>50</v>
      </c>
      <c r="N706" t="s">
        <v>1747</v>
      </c>
      <c r="O706" t="s">
        <v>114</v>
      </c>
      <c r="P706">
        <v>1</v>
      </c>
      <c r="Q706" t="s">
        <v>45</v>
      </c>
    </row>
    <row r="707" spans="1:17">
      <c r="A707">
        <v>60</v>
      </c>
      <c r="B707" t="s">
        <v>137</v>
      </c>
      <c r="C707" t="s">
        <v>145</v>
      </c>
      <c r="D707" t="s">
        <v>28</v>
      </c>
      <c r="E707" s="6">
        <v>45370</v>
      </c>
      <c r="F707" t="s">
        <v>850</v>
      </c>
      <c r="G707" t="s">
        <v>1643</v>
      </c>
      <c r="H707" t="s">
        <v>39</v>
      </c>
      <c r="I707" s="4">
        <v>28010.43945546149</v>
      </c>
      <c r="J707">
        <v>125</v>
      </c>
      <c r="K707" t="s">
        <v>34</v>
      </c>
      <c r="L707" s="6">
        <v>45388</v>
      </c>
      <c r="M707" t="s">
        <v>52</v>
      </c>
      <c r="N707" t="s">
        <v>1746</v>
      </c>
      <c r="O707" t="s">
        <v>114</v>
      </c>
      <c r="P707">
        <v>18</v>
      </c>
      <c r="Q707" t="s">
        <v>47</v>
      </c>
    </row>
    <row r="708" spans="1:17">
      <c r="A708">
        <v>43</v>
      </c>
      <c r="B708" t="s">
        <v>137</v>
      </c>
      <c r="C708" t="s">
        <v>140</v>
      </c>
      <c r="D708" t="s">
        <v>28</v>
      </c>
      <c r="E708" s="6">
        <v>45373</v>
      </c>
      <c r="F708" t="s">
        <v>851</v>
      </c>
      <c r="G708" t="s">
        <v>1644</v>
      </c>
      <c r="H708" t="s">
        <v>42</v>
      </c>
      <c r="I708" s="4">
        <v>22361.53686114206</v>
      </c>
      <c r="J708">
        <v>200</v>
      </c>
      <c r="K708" t="s">
        <v>34</v>
      </c>
      <c r="L708" s="6">
        <v>45396</v>
      </c>
      <c r="M708" t="s">
        <v>51</v>
      </c>
      <c r="N708" t="s">
        <v>1748</v>
      </c>
      <c r="O708" t="s">
        <v>114</v>
      </c>
      <c r="P708">
        <v>23</v>
      </c>
      <c r="Q708" t="s">
        <v>46</v>
      </c>
    </row>
    <row r="709" spans="1:17">
      <c r="A709">
        <v>38</v>
      </c>
      <c r="B709" t="s">
        <v>137</v>
      </c>
      <c r="C709" t="s">
        <v>143</v>
      </c>
      <c r="D709" t="s">
        <v>27</v>
      </c>
      <c r="E709" s="6">
        <v>45373</v>
      </c>
      <c r="F709" t="s">
        <v>852</v>
      </c>
      <c r="G709" t="s">
        <v>1645</v>
      </c>
      <c r="H709" t="s">
        <v>42</v>
      </c>
      <c r="I709" s="4">
        <v>45165.78031111335</v>
      </c>
      <c r="J709">
        <v>355</v>
      </c>
      <c r="K709" t="s">
        <v>34</v>
      </c>
      <c r="L709" s="6">
        <v>45384</v>
      </c>
      <c r="M709" t="s">
        <v>51</v>
      </c>
      <c r="N709" t="s">
        <v>1748</v>
      </c>
      <c r="O709" t="s">
        <v>114</v>
      </c>
      <c r="P709">
        <v>11</v>
      </c>
      <c r="Q709" t="s">
        <v>46</v>
      </c>
    </row>
    <row r="710" spans="1:17">
      <c r="A710">
        <v>40</v>
      </c>
      <c r="B710" t="s">
        <v>137</v>
      </c>
      <c r="C710" t="s">
        <v>145</v>
      </c>
      <c r="D710" t="s">
        <v>29</v>
      </c>
      <c r="E710" s="6">
        <v>45364</v>
      </c>
      <c r="F710" t="s">
        <v>853</v>
      </c>
      <c r="G710" t="s">
        <v>1646</v>
      </c>
      <c r="H710" t="s">
        <v>38</v>
      </c>
      <c r="I710" s="4">
        <v>26097.7321163618</v>
      </c>
      <c r="J710">
        <v>373</v>
      </c>
      <c r="K710" t="s">
        <v>35</v>
      </c>
      <c r="L710" s="6">
        <v>45387</v>
      </c>
      <c r="M710" t="s">
        <v>52</v>
      </c>
      <c r="N710" t="s">
        <v>1748</v>
      </c>
      <c r="O710" t="s">
        <v>114</v>
      </c>
      <c r="P710">
        <v>23</v>
      </c>
      <c r="Q710" t="s">
        <v>46</v>
      </c>
    </row>
    <row r="711" spans="1:17">
      <c r="A711">
        <v>71</v>
      </c>
      <c r="B711" t="s">
        <v>138</v>
      </c>
      <c r="C711" t="s">
        <v>144</v>
      </c>
      <c r="D711" t="s">
        <v>31</v>
      </c>
      <c r="E711" s="6">
        <v>45380</v>
      </c>
      <c r="F711" t="s">
        <v>854</v>
      </c>
      <c r="G711" t="s">
        <v>1647</v>
      </c>
      <c r="H711" t="s">
        <v>41</v>
      </c>
      <c r="I711" s="4">
        <v>10715.49532909152</v>
      </c>
      <c r="J711">
        <v>494</v>
      </c>
      <c r="K711" t="s">
        <v>34</v>
      </c>
      <c r="L711" s="6">
        <v>45383</v>
      </c>
      <c r="M711" t="s">
        <v>50</v>
      </c>
      <c r="N711" t="s">
        <v>1747</v>
      </c>
      <c r="O711" t="s">
        <v>114</v>
      </c>
      <c r="P711">
        <v>3</v>
      </c>
      <c r="Q711" t="s">
        <v>48</v>
      </c>
    </row>
    <row r="712" spans="1:17">
      <c r="A712">
        <v>18</v>
      </c>
      <c r="B712" t="s">
        <v>138</v>
      </c>
      <c r="C712" t="s">
        <v>145</v>
      </c>
      <c r="D712" t="s">
        <v>27</v>
      </c>
      <c r="E712" s="6">
        <v>45358</v>
      </c>
      <c r="F712" t="s">
        <v>855</v>
      </c>
      <c r="G712" t="s">
        <v>1648</v>
      </c>
      <c r="H712" t="s">
        <v>42</v>
      </c>
      <c r="I712" s="4">
        <v>25107.28324707071</v>
      </c>
      <c r="J712">
        <v>347</v>
      </c>
      <c r="K712" t="s">
        <v>35</v>
      </c>
      <c r="L712" s="6">
        <v>45379</v>
      </c>
      <c r="M712" t="s">
        <v>53</v>
      </c>
      <c r="N712" t="s">
        <v>1747</v>
      </c>
      <c r="O712" t="s">
        <v>114</v>
      </c>
      <c r="P712">
        <v>21</v>
      </c>
      <c r="Q712" t="s">
        <v>44</v>
      </c>
    </row>
    <row r="713" spans="1:17">
      <c r="A713">
        <v>21</v>
      </c>
      <c r="B713" t="s">
        <v>137</v>
      </c>
      <c r="C713" t="s">
        <v>141</v>
      </c>
      <c r="D713" t="s">
        <v>30</v>
      </c>
      <c r="E713" s="6">
        <v>45355</v>
      </c>
      <c r="F713" t="s">
        <v>856</v>
      </c>
      <c r="G713" t="s">
        <v>1649</v>
      </c>
      <c r="H713" t="s">
        <v>41</v>
      </c>
      <c r="I713" s="4">
        <v>49652.72362477353</v>
      </c>
      <c r="J713">
        <v>106</v>
      </c>
      <c r="K713" t="s">
        <v>36</v>
      </c>
      <c r="L713" s="6">
        <v>45376</v>
      </c>
      <c r="M713" t="s">
        <v>54</v>
      </c>
      <c r="N713" t="s">
        <v>1747</v>
      </c>
      <c r="O713" t="s">
        <v>114</v>
      </c>
      <c r="P713">
        <v>21</v>
      </c>
      <c r="Q713" t="s">
        <v>45</v>
      </c>
    </row>
    <row r="714" spans="1:17">
      <c r="A714">
        <v>55</v>
      </c>
      <c r="B714" t="s">
        <v>137</v>
      </c>
      <c r="C714" t="s">
        <v>142</v>
      </c>
      <c r="D714" t="s">
        <v>28</v>
      </c>
      <c r="E714" s="6">
        <v>45380</v>
      </c>
      <c r="F714" t="s">
        <v>857</v>
      </c>
      <c r="G714" t="s">
        <v>1650</v>
      </c>
      <c r="H714" t="s">
        <v>38</v>
      </c>
      <c r="I714" s="4">
        <v>34473.66213192968</v>
      </c>
      <c r="J714">
        <v>339</v>
      </c>
      <c r="K714" t="s">
        <v>36</v>
      </c>
      <c r="L714" s="6">
        <v>45392</v>
      </c>
      <c r="M714" t="s">
        <v>51</v>
      </c>
      <c r="N714" t="s">
        <v>1747</v>
      </c>
      <c r="O714" t="s">
        <v>114</v>
      </c>
      <c r="P714">
        <v>12</v>
      </c>
      <c r="Q714" t="s">
        <v>47</v>
      </c>
    </row>
    <row r="715" spans="1:17">
      <c r="A715">
        <v>44</v>
      </c>
      <c r="B715" t="s">
        <v>138</v>
      </c>
      <c r="C715" t="s">
        <v>142</v>
      </c>
      <c r="D715" t="s">
        <v>28</v>
      </c>
      <c r="E715" s="6">
        <v>45371</v>
      </c>
      <c r="F715" t="s">
        <v>858</v>
      </c>
      <c r="G715" t="s">
        <v>1651</v>
      </c>
      <c r="H715" t="s">
        <v>39</v>
      </c>
      <c r="I715" s="4">
        <v>4474.08108180771</v>
      </c>
      <c r="J715">
        <v>420</v>
      </c>
      <c r="K715" t="s">
        <v>36</v>
      </c>
      <c r="L715" s="6">
        <v>45397</v>
      </c>
      <c r="M715" t="s">
        <v>53</v>
      </c>
      <c r="N715" t="s">
        <v>1748</v>
      </c>
      <c r="O715" t="s">
        <v>114</v>
      </c>
      <c r="P715">
        <v>26</v>
      </c>
      <c r="Q715" t="s">
        <v>46</v>
      </c>
    </row>
    <row r="716" spans="1:17">
      <c r="A716">
        <v>51</v>
      </c>
      <c r="B716" t="s">
        <v>137</v>
      </c>
      <c r="C716" t="s">
        <v>140</v>
      </c>
      <c r="D716" t="s">
        <v>32</v>
      </c>
      <c r="E716" s="6">
        <v>45377</v>
      </c>
      <c r="F716" t="s">
        <v>859</v>
      </c>
      <c r="G716" t="s">
        <v>1652</v>
      </c>
      <c r="H716" t="s">
        <v>40</v>
      </c>
      <c r="I716" s="4">
        <v>35695.57492358483</v>
      </c>
      <c r="J716">
        <v>166</v>
      </c>
      <c r="K716" t="s">
        <v>35</v>
      </c>
      <c r="L716" s="6">
        <v>45382</v>
      </c>
      <c r="M716" t="s">
        <v>54</v>
      </c>
      <c r="N716" t="s">
        <v>1746</v>
      </c>
      <c r="O716" t="s">
        <v>114</v>
      </c>
      <c r="P716">
        <v>5</v>
      </c>
      <c r="Q716" t="s">
        <v>47</v>
      </c>
    </row>
    <row r="717" spans="1:17">
      <c r="A717">
        <v>82</v>
      </c>
      <c r="B717" t="s">
        <v>138</v>
      </c>
      <c r="C717" t="s">
        <v>140</v>
      </c>
      <c r="D717" t="s">
        <v>29</v>
      </c>
      <c r="E717" s="6">
        <v>45374</v>
      </c>
      <c r="F717" t="s">
        <v>860</v>
      </c>
      <c r="G717" t="s">
        <v>1653</v>
      </c>
      <c r="H717" t="s">
        <v>39</v>
      </c>
      <c r="I717" s="4">
        <v>7041.855326636781</v>
      </c>
      <c r="J717">
        <v>201</v>
      </c>
      <c r="K717" t="s">
        <v>34</v>
      </c>
      <c r="L717" s="6">
        <v>45387</v>
      </c>
      <c r="M717" t="s">
        <v>54</v>
      </c>
      <c r="N717" t="s">
        <v>1746</v>
      </c>
      <c r="O717" t="s">
        <v>114</v>
      </c>
      <c r="P717">
        <v>13</v>
      </c>
      <c r="Q717" t="s">
        <v>48</v>
      </c>
    </row>
    <row r="718" spans="1:17">
      <c r="A718">
        <v>61</v>
      </c>
      <c r="B718" t="s">
        <v>138</v>
      </c>
      <c r="C718" t="s">
        <v>146</v>
      </c>
      <c r="D718" t="s">
        <v>32</v>
      </c>
      <c r="E718" s="6">
        <v>45360</v>
      </c>
      <c r="F718" t="s">
        <v>861</v>
      </c>
      <c r="G718" t="s">
        <v>1654</v>
      </c>
      <c r="H718" t="s">
        <v>38</v>
      </c>
      <c r="I718" s="4">
        <v>8707.777583877505</v>
      </c>
      <c r="J718">
        <v>223</v>
      </c>
      <c r="K718" t="s">
        <v>35</v>
      </c>
      <c r="L718" s="6">
        <v>45362</v>
      </c>
      <c r="M718" t="s">
        <v>50</v>
      </c>
      <c r="N718" t="s">
        <v>1747</v>
      </c>
      <c r="O718" t="s">
        <v>114</v>
      </c>
      <c r="P718">
        <v>2</v>
      </c>
      <c r="Q718" t="s">
        <v>47</v>
      </c>
    </row>
    <row r="719" spans="1:17">
      <c r="A719">
        <v>58</v>
      </c>
      <c r="B719" t="s">
        <v>138</v>
      </c>
      <c r="C719" t="s">
        <v>144</v>
      </c>
      <c r="D719" t="s">
        <v>27</v>
      </c>
      <c r="E719" s="6">
        <v>45369</v>
      </c>
      <c r="F719" t="s">
        <v>862</v>
      </c>
      <c r="G719" t="s">
        <v>1655</v>
      </c>
      <c r="H719" t="s">
        <v>42</v>
      </c>
      <c r="I719" s="4">
        <v>39086.85236204158</v>
      </c>
      <c r="J719">
        <v>338</v>
      </c>
      <c r="K719" t="s">
        <v>36</v>
      </c>
      <c r="L719" s="6">
        <v>45387</v>
      </c>
      <c r="M719" t="s">
        <v>52</v>
      </c>
      <c r="N719" t="s">
        <v>1746</v>
      </c>
      <c r="O719" t="s">
        <v>114</v>
      </c>
      <c r="P719">
        <v>18</v>
      </c>
      <c r="Q719" t="s">
        <v>47</v>
      </c>
    </row>
    <row r="720" spans="1:17">
      <c r="A720">
        <v>61</v>
      </c>
      <c r="B720" t="s">
        <v>137</v>
      </c>
      <c r="C720" t="s">
        <v>144</v>
      </c>
      <c r="D720" t="s">
        <v>28</v>
      </c>
      <c r="E720" s="6">
        <v>45378</v>
      </c>
      <c r="F720" t="s">
        <v>863</v>
      </c>
      <c r="G720" t="s">
        <v>1656</v>
      </c>
      <c r="H720" t="s">
        <v>39</v>
      </c>
      <c r="I720" s="4">
        <v>15378.23382851882</v>
      </c>
      <c r="J720">
        <v>231</v>
      </c>
      <c r="K720" t="s">
        <v>35</v>
      </c>
      <c r="L720" s="6">
        <v>45386</v>
      </c>
      <c r="M720" t="s">
        <v>50</v>
      </c>
      <c r="N720" t="s">
        <v>1746</v>
      </c>
      <c r="O720" t="s">
        <v>114</v>
      </c>
      <c r="P720">
        <v>8</v>
      </c>
      <c r="Q720" t="s">
        <v>47</v>
      </c>
    </row>
    <row r="721" spans="1:17">
      <c r="A721">
        <v>30</v>
      </c>
      <c r="B721" t="s">
        <v>137</v>
      </c>
      <c r="C721" t="s">
        <v>139</v>
      </c>
      <c r="D721" t="s">
        <v>31</v>
      </c>
      <c r="E721" s="6">
        <v>45363</v>
      </c>
      <c r="F721" t="s">
        <v>864</v>
      </c>
      <c r="G721" t="s">
        <v>1657</v>
      </c>
      <c r="H721" t="s">
        <v>42</v>
      </c>
      <c r="I721" s="4">
        <v>41239.81126665317</v>
      </c>
      <c r="J721">
        <v>307</v>
      </c>
      <c r="K721" t="s">
        <v>34</v>
      </c>
      <c r="L721" s="6">
        <v>45382</v>
      </c>
      <c r="M721" t="s">
        <v>50</v>
      </c>
      <c r="N721" t="s">
        <v>1748</v>
      </c>
      <c r="O721" t="s">
        <v>114</v>
      </c>
      <c r="P721">
        <v>19</v>
      </c>
      <c r="Q721" t="s">
        <v>45</v>
      </c>
    </row>
    <row r="722" spans="1:17">
      <c r="A722">
        <v>19</v>
      </c>
      <c r="B722" t="s">
        <v>137</v>
      </c>
      <c r="C722" t="s">
        <v>143</v>
      </c>
      <c r="D722" t="s">
        <v>31</v>
      </c>
      <c r="E722" s="6">
        <v>45365</v>
      </c>
      <c r="F722" t="s">
        <v>865</v>
      </c>
      <c r="G722" t="s">
        <v>1658</v>
      </c>
      <c r="H722" t="s">
        <v>41</v>
      </c>
      <c r="I722" s="4">
        <v>40410.31421005281</v>
      </c>
      <c r="J722">
        <v>261</v>
      </c>
      <c r="K722" t="s">
        <v>34</v>
      </c>
      <c r="L722" s="6">
        <v>45376</v>
      </c>
      <c r="M722" t="s">
        <v>52</v>
      </c>
      <c r="N722" t="s">
        <v>1747</v>
      </c>
      <c r="O722" t="s">
        <v>114</v>
      </c>
      <c r="P722">
        <v>11</v>
      </c>
      <c r="Q722" t="s">
        <v>45</v>
      </c>
    </row>
    <row r="723" spans="1:17">
      <c r="A723">
        <v>72</v>
      </c>
      <c r="B723" t="s">
        <v>138</v>
      </c>
      <c r="C723" t="s">
        <v>141</v>
      </c>
      <c r="D723" t="s">
        <v>29</v>
      </c>
      <c r="E723" s="6">
        <v>45382</v>
      </c>
      <c r="F723" t="s">
        <v>866</v>
      </c>
      <c r="G723" t="s">
        <v>1659</v>
      </c>
      <c r="H723" t="s">
        <v>41</v>
      </c>
      <c r="I723" s="4">
        <v>9011.298128144759</v>
      </c>
      <c r="J723">
        <v>402</v>
      </c>
      <c r="K723" t="s">
        <v>35</v>
      </c>
      <c r="L723" s="6">
        <v>45398</v>
      </c>
      <c r="M723" t="s">
        <v>53</v>
      </c>
      <c r="N723" t="s">
        <v>1746</v>
      </c>
      <c r="O723" t="s">
        <v>114</v>
      </c>
      <c r="P723">
        <v>16</v>
      </c>
      <c r="Q723" t="s">
        <v>48</v>
      </c>
    </row>
    <row r="724" spans="1:17">
      <c r="A724">
        <v>68</v>
      </c>
      <c r="B724" t="s">
        <v>138</v>
      </c>
      <c r="C724" t="s">
        <v>139</v>
      </c>
      <c r="D724" t="s">
        <v>27</v>
      </c>
      <c r="E724" s="6">
        <v>45380</v>
      </c>
      <c r="F724" t="s">
        <v>867</v>
      </c>
      <c r="G724" t="s">
        <v>1660</v>
      </c>
      <c r="H724" t="s">
        <v>38</v>
      </c>
      <c r="I724" s="4">
        <v>45840.79990045591</v>
      </c>
      <c r="J724">
        <v>280</v>
      </c>
      <c r="K724" t="s">
        <v>34</v>
      </c>
      <c r="L724" s="6">
        <v>45384</v>
      </c>
      <c r="M724" t="s">
        <v>51</v>
      </c>
      <c r="N724" t="s">
        <v>1746</v>
      </c>
      <c r="O724" t="s">
        <v>114</v>
      </c>
      <c r="P724">
        <v>4</v>
      </c>
      <c r="Q724" t="s">
        <v>48</v>
      </c>
    </row>
    <row r="725" spans="1:17">
      <c r="A725">
        <v>59</v>
      </c>
      <c r="B725" t="s">
        <v>137</v>
      </c>
      <c r="C725" t="s">
        <v>144</v>
      </c>
      <c r="D725" t="s">
        <v>32</v>
      </c>
      <c r="E725" s="6">
        <v>45376</v>
      </c>
      <c r="F725" t="s">
        <v>868</v>
      </c>
      <c r="G725" t="s">
        <v>1661</v>
      </c>
      <c r="H725" t="s">
        <v>39</v>
      </c>
      <c r="I725" s="4">
        <v>47076.06736648738</v>
      </c>
      <c r="J725">
        <v>148</v>
      </c>
      <c r="K725" t="s">
        <v>36</v>
      </c>
      <c r="L725" s="6">
        <v>45396</v>
      </c>
      <c r="M725" t="s">
        <v>51</v>
      </c>
      <c r="N725" t="s">
        <v>1748</v>
      </c>
      <c r="O725" t="s">
        <v>114</v>
      </c>
      <c r="P725">
        <v>20</v>
      </c>
      <c r="Q725" t="s">
        <v>47</v>
      </c>
    </row>
    <row r="726" spans="1:17">
      <c r="A726">
        <v>44</v>
      </c>
      <c r="B726" t="s">
        <v>138</v>
      </c>
      <c r="C726" t="s">
        <v>143</v>
      </c>
      <c r="D726" t="s">
        <v>32</v>
      </c>
      <c r="E726" s="6">
        <v>45363</v>
      </c>
      <c r="F726" t="s">
        <v>869</v>
      </c>
      <c r="G726" t="s">
        <v>1662</v>
      </c>
      <c r="H726" t="s">
        <v>40</v>
      </c>
      <c r="I726" s="4">
        <v>11812.9018350213</v>
      </c>
      <c r="J726">
        <v>209</v>
      </c>
      <c r="K726" t="s">
        <v>34</v>
      </c>
      <c r="L726" s="6">
        <v>45374</v>
      </c>
      <c r="M726" t="s">
        <v>50</v>
      </c>
      <c r="N726" t="s">
        <v>1748</v>
      </c>
      <c r="O726" t="s">
        <v>114</v>
      </c>
      <c r="P726">
        <v>11</v>
      </c>
      <c r="Q726" t="s">
        <v>46</v>
      </c>
    </row>
    <row r="727" spans="1:17">
      <c r="A727">
        <v>53</v>
      </c>
      <c r="B727" t="s">
        <v>138</v>
      </c>
      <c r="C727" t="s">
        <v>142</v>
      </c>
      <c r="D727" t="s">
        <v>28</v>
      </c>
      <c r="E727" s="6">
        <v>45362</v>
      </c>
      <c r="F727" t="s">
        <v>870</v>
      </c>
      <c r="G727" t="s">
        <v>1663</v>
      </c>
      <c r="H727" t="s">
        <v>41</v>
      </c>
      <c r="I727" s="4">
        <v>31391.44454560196</v>
      </c>
      <c r="J727">
        <v>420</v>
      </c>
      <c r="K727" t="s">
        <v>36</v>
      </c>
      <c r="L727" s="6">
        <v>45366</v>
      </c>
      <c r="M727" t="s">
        <v>54</v>
      </c>
      <c r="N727" t="s">
        <v>1748</v>
      </c>
      <c r="O727" t="s">
        <v>114</v>
      </c>
      <c r="P727">
        <v>4</v>
      </c>
      <c r="Q727" t="s">
        <v>47</v>
      </c>
    </row>
    <row r="728" spans="1:17">
      <c r="A728">
        <v>18</v>
      </c>
      <c r="B728" t="s">
        <v>137</v>
      </c>
      <c r="C728" t="s">
        <v>145</v>
      </c>
      <c r="D728" t="s">
        <v>27</v>
      </c>
      <c r="E728" s="6">
        <v>45373</v>
      </c>
      <c r="F728" t="s">
        <v>871</v>
      </c>
      <c r="G728" t="s">
        <v>1664</v>
      </c>
      <c r="H728" t="s">
        <v>40</v>
      </c>
      <c r="I728" s="4">
        <v>30217.88331469571</v>
      </c>
      <c r="J728">
        <v>213</v>
      </c>
      <c r="K728" t="s">
        <v>36</v>
      </c>
      <c r="L728" s="6">
        <v>45379</v>
      </c>
      <c r="M728" t="s">
        <v>53</v>
      </c>
      <c r="N728" t="s">
        <v>1748</v>
      </c>
      <c r="O728" t="s">
        <v>114</v>
      </c>
      <c r="P728">
        <v>6</v>
      </c>
      <c r="Q728" t="s">
        <v>44</v>
      </c>
    </row>
    <row r="729" spans="1:17">
      <c r="A729">
        <v>21</v>
      </c>
      <c r="B729" t="s">
        <v>137</v>
      </c>
      <c r="C729" t="s">
        <v>143</v>
      </c>
      <c r="D729" t="s">
        <v>28</v>
      </c>
      <c r="E729" s="6">
        <v>45378</v>
      </c>
      <c r="F729" t="s">
        <v>872</v>
      </c>
      <c r="G729" t="s">
        <v>1665</v>
      </c>
      <c r="H729" t="s">
        <v>41</v>
      </c>
      <c r="I729" s="4">
        <v>46334.77830798844</v>
      </c>
      <c r="J729">
        <v>462</v>
      </c>
      <c r="K729" t="s">
        <v>35</v>
      </c>
      <c r="L729" s="6">
        <v>45395</v>
      </c>
      <c r="M729" t="s">
        <v>52</v>
      </c>
      <c r="N729" t="s">
        <v>1748</v>
      </c>
      <c r="O729" t="s">
        <v>114</v>
      </c>
      <c r="P729">
        <v>17</v>
      </c>
      <c r="Q729" t="s">
        <v>45</v>
      </c>
    </row>
    <row r="730" spans="1:17">
      <c r="A730">
        <v>43</v>
      </c>
      <c r="B730" t="s">
        <v>138</v>
      </c>
      <c r="C730" t="s">
        <v>140</v>
      </c>
      <c r="D730" t="s">
        <v>29</v>
      </c>
      <c r="E730" s="6">
        <v>45360</v>
      </c>
      <c r="F730" t="s">
        <v>873</v>
      </c>
      <c r="G730" t="s">
        <v>1666</v>
      </c>
      <c r="H730" t="s">
        <v>42</v>
      </c>
      <c r="I730" s="4">
        <v>12697.31207312713</v>
      </c>
      <c r="J730">
        <v>319</v>
      </c>
      <c r="K730" t="s">
        <v>35</v>
      </c>
      <c r="L730" s="6">
        <v>45369</v>
      </c>
      <c r="M730" t="s">
        <v>50</v>
      </c>
      <c r="N730" t="s">
        <v>1747</v>
      </c>
      <c r="O730" t="s">
        <v>114</v>
      </c>
      <c r="P730">
        <v>9</v>
      </c>
      <c r="Q730" t="s">
        <v>46</v>
      </c>
    </row>
    <row r="731" spans="1:17">
      <c r="A731">
        <v>57</v>
      </c>
      <c r="B731" t="s">
        <v>137</v>
      </c>
      <c r="C731" t="s">
        <v>143</v>
      </c>
      <c r="D731" t="s">
        <v>31</v>
      </c>
      <c r="E731" s="6">
        <v>45360</v>
      </c>
      <c r="F731" t="s">
        <v>874</v>
      </c>
      <c r="G731" t="s">
        <v>1667</v>
      </c>
      <c r="H731" t="s">
        <v>41</v>
      </c>
      <c r="I731" s="4">
        <v>39747.8141104965</v>
      </c>
      <c r="J731">
        <v>174</v>
      </c>
      <c r="K731" t="s">
        <v>36</v>
      </c>
      <c r="L731" s="6">
        <v>45377</v>
      </c>
      <c r="M731" t="s">
        <v>52</v>
      </c>
      <c r="N731" t="s">
        <v>1747</v>
      </c>
      <c r="O731" t="s">
        <v>114</v>
      </c>
      <c r="P731">
        <v>17</v>
      </c>
      <c r="Q731" t="s">
        <v>47</v>
      </c>
    </row>
    <row r="732" spans="1:17">
      <c r="A732">
        <v>38</v>
      </c>
      <c r="B732" t="s">
        <v>137</v>
      </c>
      <c r="C732" t="s">
        <v>142</v>
      </c>
      <c r="D732" t="s">
        <v>28</v>
      </c>
      <c r="E732" s="6">
        <v>45359</v>
      </c>
      <c r="F732" t="s">
        <v>875</v>
      </c>
      <c r="G732" t="s">
        <v>1668</v>
      </c>
      <c r="H732" t="s">
        <v>41</v>
      </c>
      <c r="I732" s="4">
        <v>30453.42331927765</v>
      </c>
      <c r="J732">
        <v>482</v>
      </c>
      <c r="K732" t="s">
        <v>35</v>
      </c>
      <c r="L732" s="6">
        <v>45369</v>
      </c>
      <c r="M732" t="s">
        <v>50</v>
      </c>
      <c r="N732" t="s">
        <v>1747</v>
      </c>
      <c r="O732" t="s">
        <v>114</v>
      </c>
      <c r="P732">
        <v>10</v>
      </c>
      <c r="Q732" t="s">
        <v>46</v>
      </c>
    </row>
    <row r="733" spans="1:17">
      <c r="A733">
        <v>61</v>
      </c>
      <c r="B733" t="s">
        <v>137</v>
      </c>
      <c r="C733" t="s">
        <v>141</v>
      </c>
      <c r="D733" t="s">
        <v>31</v>
      </c>
      <c r="E733" s="6">
        <v>45358</v>
      </c>
      <c r="F733" t="s">
        <v>876</v>
      </c>
      <c r="G733" t="s">
        <v>1669</v>
      </c>
      <c r="H733" t="s">
        <v>40</v>
      </c>
      <c r="I733" s="4">
        <v>15636.27751781966</v>
      </c>
      <c r="J733">
        <v>445</v>
      </c>
      <c r="K733" t="s">
        <v>36</v>
      </c>
      <c r="L733" s="6">
        <v>45381</v>
      </c>
      <c r="M733" t="s">
        <v>53</v>
      </c>
      <c r="N733" t="s">
        <v>1746</v>
      </c>
      <c r="O733" t="s">
        <v>114</v>
      </c>
      <c r="P733">
        <v>23</v>
      </c>
      <c r="Q733" t="s">
        <v>47</v>
      </c>
    </row>
    <row r="734" spans="1:17">
      <c r="A734">
        <v>30</v>
      </c>
      <c r="B734" t="s">
        <v>138</v>
      </c>
      <c r="C734" t="s">
        <v>145</v>
      </c>
      <c r="D734" t="s">
        <v>31</v>
      </c>
      <c r="E734" s="6">
        <v>45382</v>
      </c>
      <c r="F734" t="s">
        <v>877</v>
      </c>
      <c r="G734" t="s">
        <v>1670</v>
      </c>
      <c r="H734" t="s">
        <v>41</v>
      </c>
      <c r="I734" s="4">
        <v>16042.62004494477</v>
      </c>
      <c r="J734">
        <v>424</v>
      </c>
      <c r="K734" t="s">
        <v>36</v>
      </c>
      <c r="L734" s="6">
        <v>45393</v>
      </c>
      <c r="M734" t="s">
        <v>51</v>
      </c>
      <c r="N734" t="s">
        <v>1747</v>
      </c>
      <c r="O734" t="s">
        <v>114</v>
      </c>
      <c r="P734">
        <v>11</v>
      </c>
      <c r="Q734" t="s">
        <v>45</v>
      </c>
    </row>
    <row r="735" spans="1:17">
      <c r="A735">
        <v>27</v>
      </c>
      <c r="B735" t="s">
        <v>137</v>
      </c>
      <c r="C735" t="s">
        <v>146</v>
      </c>
      <c r="D735" t="s">
        <v>31</v>
      </c>
      <c r="E735" s="6">
        <v>45375</v>
      </c>
      <c r="F735" t="s">
        <v>878</v>
      </c>
      <c r="G735" t="s">
        <v>1671</v>
      </c>
      <c r="H735" t="s">
        <v>38</v>
      </c>
      <c r="I735" s="4">
        <v>8216.519438168914</v>
      </c>
      <c r="J735">
        <v>294</v>
      </c>
      <c r="K735" t="s">
        <v>36</v>
      </c>
      <c r="L735" s="6">
        <v>45378</v>
      </c>
      <c r="M735" t="s">
        <v>51</v>
      </c>
      <c r="N735" t="s">
        <v>1747</v>
      </c>
      <c r="O735" t="s">
        <v>114</v>
      </c>
      <c r="P735">
        <v>3</v>
      </c>
      <c r="Q735" t="s">
        <v>45</v>
      </c>
    </row>
    <row r="736" spans="1:17">
      <c r="A736">
        <v>47</v>
      </c>
      <c r="B736" t="s">
        <v>138</v>
      </c>
      <c r="C736" t="s">
        <v>141</v>
      </c>
      <c r="D736" t="s">
        <v>29</v>
      </c>
      <c r="E736" s="6">
        <v>45368</v>
      </c>
      <c r="F736" t="s">
        <v>879</v>
      </c>
      <c r="G736" t="s">
        <v>1672</v>
      </c>
      <c r="H736" t="s">
        <v>38</v>
      </c>
      <c r="I736" s="4">
        <v>39745.73147361559</v>
      </c>
      <c r="J736">
        <v>136</v>
      </c>
      <c r="K736" t="s">
        <v>34</v>
      </c>
      <c r="L736" s="6">
        <v>45383</v>
      </c>
      <c r="M736" t="s">
        <v>53</v>
      </c>
      <c r="N736" t="s">
        <v>1746</v>
      </c>
      <c r="O736" t="s">
        <v>114</v>
      </c>
      <c r="P736">
        <v>15</v>
      </c>
      <c r="Q736" t="s">
        <v>46</v>
      </c>
    </row>
    <row r="737" spans="1:17">
      <c r="A737">
        <v>80</v>
      </c>
      <c r="B737" t="s">
        <v>137</v>
      </c>
      <c r="C737" t="s">
        <v>140</v>
      </c>
      <c r="D737" t="s">
        <v>31</v>
      </c>
      <c r="E737" s="6">
        <v>45368</v>
      </c>
      <c r="F737" t="s">
        <v>880</v>
      </c>
      <c r="G737" t="s">
        <v>1673</v>
      </c>
      <c r="H737" t="s">
        <v>42</v>
      </c>
      <c r="I737" s="4">
        <v>15876.79109040783</v>
      </c>
      <c r="J737">
        <v>350</v>
      </c>
      <c r="K737" t="s">
        <v>34</v>
      </c>
      <c r="L737" s="6">
        <v>45396</v>
      </c>
      <c r="M737" t="s">
        <v>52</v>
      </c>
      <c r="N737" t="s">
        <v>1748</v>
      </c>
      <c r="O737" t="s">
        <v>114</v>
      </c>
      <c r="P737">
        <v>28</v>
      </c>
      <c r="Q737" t="s">
        <v>48</v>
      </c>
    </row>
    <row r="738" spans="1:17">
      <c r="A738">
        <v>70</v>
      </c>
      <c r="B738" t="s">
        <v>137</v>
      </c>
      <c r="C738" t="s">
        <v>139</v>
      </c>
      <c r="D738" t="s">
        <v>29</v>
      </c>
      <c r="E738" s="6">
        <v>45360</v>
      </c>
      <c r="F738" t="s">
        <v>881</v>
      </c>
      <c r="G738" t="s">
        <v>1674</v>
      </c>
      <c r="H738" t="s">
        <v>39</v>
      </c>
      <c r="I738" s="4">
        <v>39576.9934495586</v>
      </c>
      <c r="J738">
        <v>384</v>
      </c>
      <c r="K738" t="s">
        <v>35</v>
      </c>
      <c r="L738" s="6">
        <v>45371</v>
      </c>
      <c r="M738" t="s">
        <v>53</v>
      </c>
      <c r="N738" t="s">
        <v>1747</v>
      </c>
      <c r="O738" t="s">
        <v>114</v>
      </c>
      <c r="P738">
        <v>11</v>
      </c>
      <c r="Q738" t="s">
        <v>48</v>
      </c>
    </row>
    <row r="739" spans="1:17">
      <c r="A739">
        <v>23</v>
      </c>
      <c r="B739" t="s">
        <v>138</v>
      </c>
      <c r="C739" t="s">
        <v>145</v>
      </c>
      <c r="D739" t="s">
        <v>32</v>
      </c>
      <c r="E739" s="6">
        <v>45360</v>
      </c>
      <c r="F739" t="s">
        <v>882</v>
      </c>
      <c r="G739" t="s">
        <v>1675</v>
      </c>
      <c r="H739" t="s">
        <v>41</v>
      </c>
      <c r="I739" s="4">
        <v>21211.22810575336</v>
      </c>
      <c r="J739">
        <v>325</v>
      </c>
      <c r="K739" t="s">
        <v>34</v>
      </c>
      <c r="L739" s="6">
        <v>45377</v>
      </c>
      <c r="M739" t="s">
        <v>50</v>
      </c>
      <c r="N739" t="s">
        <v>1746</v>
      </c>
      <c r="O739" t="s">
        <v>114</v>
      </c>
      <c r="P739">
        <v>17</v>
      </c>
      <c r="Q739" t="s">
        <v>45</v>
      </c>
    </row>
    <row r="740" spans="1:17">
      <c r="A740">
        <v>23</v>
      </c>
      <c r="B740" t="s">
        <v>138</v>
      </c>
      <c r="C740" t="s">
        <v>146</v>
      </c>
      <c r="D740" t="s">
        <v>30</v>
      </c>
      <c r="E740" s="6">
        <v>45362</v>
      </c>
      <c r="F740" t="s">
        <v>883</v>
      </c>
      <c r="G740" t="s">
        <v>1676</v>
      </c>
      <c r="H740" t="s">
        <v>38</v>
      </c>
      <c r="I740" s="4">
        <v>21840.03832577887</v>
      </c>
      <c r="J740">
        <v>141</v>
      </c>
      <c r="K740" t="s">
        <v>35</v>
      </c>
      <c r="L740" s="6">
        <v>45392</v>
      </c>
      <c r="M740" t="s">
        <v>50</v>
      </c>
      <c r="N740" t="s">
        <v>1748</v>
      </c>
      <c r="O740" t="s">
        <v>114</v>
      </c>
      <c r="P740">
        <v>30</v>
      </c>
      <c r="Q740" t="s">
        <v>45</v>
      </c>
    </row>
    <row r="741" spans="1:17">
      <c r="A741">
        <v>54</v>
      </c>
      <c r="B741" t="s">
        <v>137</v>
      </c>
      <c r="C741" t="s">
        <v>139</v>
      </c>
      <c r="D741" t="s">
        <v>30</v>
      </c>
      <c r="E741" s="6">
        <v>45375</v>
      </c>
      <c r="F741" t="s">
        <v>884</v>
      </c>
      <c r="G741" t="s">
        <v>1677</v>
      </c>
      <c r="H741" t="s">
        <v>41</v>
      </c>
      <c r="I741" s="4">
        <v>46311.14640548007</v>
      </c>
      <c r="J741">
        <v>499</v>
      </c>
      <c r="K741" t="s">
        <v>35</v>
      </c>
      <c r="L741" s="6">
        <v>45395</v>
      </c>
      <c r="M741" t="s">
        <v>54</v>
      </c>
      <c r="N741" t="s">
        <v>1746</v>
      </c>
      <c r="O741" t="s">
        <v>114</v>
      </c>
      <c r="P741">
        <v>20</v>
      </c>
      <c r="Q741" t="s">
        <v>47</v>
      </c>
    </row>
    <row r="742" spans="1:17">
      <c r="A742">
        <v>51</v>
      </c>
      <c r="B742" t="s">
        <v>137</v>
      </c>
      <c r="C742" t="s">
        <v>139</v>
      </c>
      <c r="D742" t="s">
        <v>28</v>
      </c>
      <c r="E742" s="6">
        <v>45357</v>
      </c>
      <c r="F742" t="s">
        <v>885</v>
      </c>
      <c r="G742" t="s">
        <v>1678</v>
      </c>
      <c r="H742" t="s">
        <v>40</v>
      </c>
      <c r="I742" s="4">
        <v>19213.98344363142</v>
      </c>
      <c r="J742">
        <v>373</v>
      </c>
      <c r="K742" t="s">
        <v>36</v>
      </c>
      <c r="L742" s="6">
        <v>45365</v>
      </c>
      <c r="M742" t="s">
        <v>50</v>
      </c>
      <c r="N742" t="s">
        <v>1747</v>
      </c>
      <c r="O742" t="s">
        <v>114</v>
      </c>
      <c r="P742">
        <v>8</v>
      </c>
      <c r="Q742" t="s">
        <v>47</v>
      </c>
    </row>
    <row r="743" spans="1:17">
      <c r="A743">
        <v>39</v>
      </c>
      <c r="B743" t="s">
        <v>138</v>
      </c>
      <c r="C743" t="s">
        <v>142</v>
      </c>
      <c r="D743" t="s">
        <v>27</v>
      </c>
      <c r="E743" s="6">
        <v>45355</v>
      </c>
      <c r="F743" t="s">
        <v>886</v>
      </c>
      <c r="G743" t="s">
        <v>1679</v>
      </c>
      <c r="H743" t="s">
        <v>42</v>
      </c>
      <c r="I743" s="4">
        <v>1454.017896920924</v>
      </c>
      <c r="J743">
        <v>207</v>
      </c>
      <c r="K743" t="s">
        <v>34</v>
      </c>
      <c r="L743" s="6">
        <v>45363</v>
      </c>
      <c r="M743" t="s">
        <v>51</v>
      </c>
      <c r="N743" t="s">
        <v>1748</v>
      </c>
      <c r="O743" t="s">
        <v>114</v>
      </c>
      <c r="P743">
        <v>8</v>
      </c>
      <c r="Q743" t="s">
        <v>46</v>
      </c>
    </row>
    <row r="744" spans="1:17">
      <c r="A744">
        <v>85</v>
      </c>
      <c r="B744" t="s">
        <v>137</v>
      </c>
      <c r="C744" t="s">
        <v>143</v>
      </c>
      <c r="D744" t="s">
        <v>32</v>
      </c>
      <c r="E744" s="6">
        <v>45368</v>
      </c>
      <c r="F744" t="s">
        <v>887</v>
      </c>
      <c r="G744" t="s">
        <v>1680</v>
      </c>
      <c r="H744" t="s">
        <v>40</v>
      </c>
      <c r="I744" s="4">
        <v>48897.9693089033</v>
      </c>
      <c r="J744">
        <v>479</v>
      </c>
      <c r="K744" t="s">
        <v>36</v>
      </c>
      <c r="L744" s="6">
        <v>45393</v>
      </c>
      <c r="M744" t="s">
        <v>53</v>
      </c>
      <c r="N744" t="s">
        <v>1748</v>
      </c>
      <c r="O744" t="s">
        <v>114</v>
      </c>
      <c r="P744">
        <v>25</v>
      </c>
      <c r="Q744" t="s">
        <v>48</v>
      </c>
    </row>
    <row r="745" spans="1:17">
      <c r="A745">
        <v>61</v>
      </c>
      <c r="B745" t="s">
        <v>137</v>
      </c>
      <c r="C745" t="s">
        <v>140</v>
      </c>
      <c r="D745" t="s">
        <v>29</v>
      </c>
      <c r="E745" s="6">
        <v>45372</v>
      </c>
      <c r="F745" t="s">
        <v>888</v>
      </c>
      <c r="G745" t="s">
        <v>1681</v>
      </c>
      <c r="H745" t="s">
        <v>41</v>
      </c>
      <c r="I745" s="4">
        <v>10375.88952284963</v>
      </c>
      <c r="J745">
        <v>381</v>
      </c>
      <c r="K745" t="s">
        <v>34</v>
      </c>
      <c r="L745" s="6">
        <v>45384</v>
      </c>
      <c r="M745" t="s">
        <v>53</v>
      </c>
      <c r="N745" t="s">
        <v>1748</v>
      </c>
      <c r="O745" t="s">
        <v>114</v>
      </c>
      <c r="P745">
        <v>12</v>
      </c>
      <c r="Q745" t="s">
        <v>47</v>
      </c>
    </row>
    <row r="746" spans="1:17">
      <c r="A746">
        <v>51</v>
      </c>
      <c r="B746" t="s">
        <v>137</v>
      </c>
      <c r="C746" t="s">
        <v>142</v>
      </c>
      <c r="D746" t="s">
        <v>28</v>
      </c>
      <c r="E746" s="6">
        <v>45356</v>
      </c>
      <c r="F746" t="s">
        <v>889</v>
      </c>
      <c r="G746" t="s">
        <v>1682</v>
      </c>
      <c r="H746" t="s">
        <v>38</v>
      </c>
      <c r="I746" s="4">
        <v>29538.89138123991</v>
      </c>
      <c r="J746">
        <v>440</v>
      </c>
      <c r="K746" t="s">
        <v>35</v>
      </c>
      <c r="L746" s="6">
        <v>45378</v>
      </c>
      <c r="M746" t="s">
        <v>51</v>
      </c>
      <c r="N746" t="s">
        <v>1748</v>
      </c>
      <c r="O746" t="s">
        <v>114</v>
      </c>
      <c r="P746">
        <v>22</v>
      </c>
      <c r="Q746" t="s">
        <v>47</v>
      </c>
    </row>
    <row r="747" spans="1:17">
      <c r="A747">
        <v>57</v>
      </c>
      <c r="B747" t="s">
        <v>138</v>
      </c>
      <c r="C747" t="s">
        <v>139</v>
      </c>
      <c r="D747" t="s">
        <v>29</v>
      </c>
      <c r="E747" s="6">
        <v>45367</v>
      </c>
      <c r="F747" t="s">
        <v>890</v>
      </c>
      <c r="G747" t="s">
        <v>1683</v>
      </c>
      <c r="H747" t="s">
        <v>41</v>
      </c>
      <c r="I747" s="4">
        <v>38713.48609446773</v>
      </c>
      <c r="J747">
        <v>427</v>
      </c>
      <c r="K747" t="s">
        <v>34</v>
      </c>
      <c r="L747" s="6">
        <v>45373</v>
      </c>
      <c r="M747" t="s">
        <v>52</v>
      </c>
      <c r="N747" t="s">
        <v>1748</v>
      </c>
      <c r="O747" t="s">
        <v>114</v>
      </c>
      <c r="P747">
        <v>6</v>
      </c>
      <c r="Q747" t="s">
        <v>47</v>
      </c>
    </row>
    <row r="748" spans="1:17">
      <c r="A748">
        <v>18</v>
      </c>
      <c r="B748" t="s">
        <v>138</v>
      </c>
      <c r="C748" t="s">
        <v>140</v>
      </c>
      <c r="D748" t="s">
        <v>30</v>
      </c>
      <c r="E748" s="6">
        <v>45377</v>
      </c>
      <c r="F748" t="s">
        <v>891</v>
      </c>
      <c r="G748" t="s">
        <v>1684</v>
      </c>
      <c r="H748" t="s">
        <v>42</v>
      </c>
      <c r="I748" s="4">
        <v>32462.91264057156</v>
      </c>
      <c r="J748">
        <v>491</v>
      </c>
      <c r="K748" t="s">
        <v>35</v>
      </c>
      <c r="L748" s="6">
        <v>45381</v>
      </c>
      <c r="M748" t="s">
        <v>54</v>
      </c>
      <c r="N748" t="s">
        <v>1748</v>
      </c>
      <c r="O748" t="s">
        <v>114</v>
      </c>
      <c r="P748">
        <v>4</v>
      </c>
      <c r="Q748" t="s">
        <v>44</v>
      </c>
    </row>
    <row r="749" spans="1:17">
      <c r="A749">
        <v>43</v>
      </c>
      <c r="B749" t="s">
        <v>137</v>
      </c>
      <c r="C749" t="s">
        <v>142</v>
      </c>
      <c r="D749" t="s">
        <v>30</v>
      </c>
      <c r="E749" s="6">
        <v>45368</v>
      </c>
      <c r="F749" t="s">
        <v>892</v>
      </c>
      <c r="G749" t="s">
        <v>1685</v>
      </c>
      <c r="H749" t="s">
        <v>41</v>
      </c>
      <c r="I749" s="4">
        <v>21762.82393012106</v>
      </c>
      <c r="J749">
        <v>172</v>
      </c>
      <c r="K749" t="s">
        <v>36</v>
      </c>
      <c r="L749" s="6">
        <v>45379</v>
      </c>
      <c r="M749" t="s">
        <v>52</v>
      </c>
      <c r="N749" t="s">
        <v>1747</v>
      </c>
      <c r="O749" t="s">
        <v>114</v>
      </c>
      <c r="P749">
        <v>11</v>
      </c>
      <c r="Q749" t="s">
        <v>46</v>
      </c>
    </row>
    <row r="750" spans="1:17">
      <c r="A750">
        <v>20</v>
      </c>
      <c r="B750" t="s">
        <v>138</v>
      </c>
      <c r="C750" t="s">
        <v>145</v>
      </c>
      <c r="D750" t="s">
        <v>29</v>
      </c>
      <c r="E750" s="6">
        <v>45370</v>
      </c>
      <c r="F750" t="s">
        <v>893</v>
      </c>
      <c r="G750" t="s">
        <v>1686</v>
      </c>
      <c r="H750" t="s">
        <v>41</v>
      </c>
      <c r="I750" s="4">
        <v>5972.780026324255</v>
      </c>
      <c r="J750">
        <v>147</v>
      </c>
      <c r="K750" t="s">
        <v>36</v>
      </c>
      <c r="L750" s="6">
        <v>45384</v>
      </c>
      <c r="M750" t="s">
        <v>53</v>
      </c>
      <c r="N750" t="s">
        <v>1748</v>
      </c>
      <c r="O750" t="s">
        <v>114</v>
      </c>
      <c r="P750">
        <v>14</v>
      </c>
      <c r="Q750" t="s">
        <v>45</v>
      </c>
    </row>
    <row r="751" spans="1:17">
      <c r="A751">
        <v>39</v>
      </c>
      <c r="B751" t="s">
        <v>138</v>
      </c>
      <c r="C751" t="s">
        <v>140</v>
      </c>
      <c r="D751" t="s">
        <v>32</v>
      </c>
      <c r="E751" s="6">
        <v>45374</v>
      </c>
      <c r="F751" t="s">
        <v>894</v>
      </c>
      <c r="G751" t="s">
        <v>1687</v>
      </c>
      <c r="H751" t="s">
        <v>42</v>
      </c>
      <c r="I751" s="4">
        <v>15155.98756209168</v>
      </c>
      <c r="J751">
        <v>340</v>
      </c>
      <c r="K751" t="s">
        <v>36</v>
      </c>
      <c r="L751" s="6">
        <v>45402</v>
      </c>
      <c r="M751" t="s">
        <v>52</v>
      </c>
      <c r="N751" t="s">
        <v>1747</v>
      </c>
      <c r="O751" t="s">
        <v>114</v>
      </c>
      <c r="P751">
        <v>28</v>
      </c>
      <c r="Q751" t="s">
        <v>46</v>
      </c>
    </row>
    <row r="752" spans="1:17">
      <c r="A752">
        <v>85</v>
      </c>
      <c r="B752" t="s">
        <v>138</v>
      </c>
      <c r="C752" t="s">
        <v>142</v>
      </c>
      <c r="D752" t="s">
        <v>30</v>
      </c>
      <c r="E752" s="6">
        <v>45375</v>
      </c>
      <c r="F752" t="s">
        <v>895</v>
      </c>
      <c r="G752" t="s">
        <v>1688</v>
      </c>
      <c r="H752" t="s">
        <v>42</v>
      </c>
      <c r="I752" s="4">
        <v>11725.12201056542</v>
      </c>
      <c r="J752">
        <v>453</v>
      </c>
      <c r="K752" t="s">
        <v>36</v>
      </c>
      <c r="L752" s="6">
        <v>45381</v>
      </c>
      <c r="M752" t="s">
        <v>51</v>
      </c>
      <c r="N752" t="s">
        <v>1746</v>
      </c>
      <c r="O752" t="s">
        <v>114</v>
      </c>
      <c r="P752">
        <v>6</v>
      </c>
      <c r="Q752" t="s">
        <v>48</v>
      </c>
    </row>
    <row r="753" spans="1:17">
      <c r="A753">
        <v>30</v>
      </c>
      <c r="B753" t="s">
        <v>137</v>
      </c>
      <c r="C753" t="s">
        <v>139</v>
      </c>
      <c r="D753" t="s">
        <v>32</v>
      </c>
      <c r="E753" s="6">
        <v>45356</v>
      </c>
      <c r="F753" t="s">
        <v>896</v>
      </c>
      <c r="G753" t="s">
        <v>1689</v>
      </c>
      <c r="H753" t="s">
        <v>40</v>
      </c>
      <c r="I753" s="4">
        <v>4434.692415757587</v>
      </c>
      <c r="J753">
        <v>184</v>
      </c>
      <c r="K753" t="s">
        <v>36</v>
      </c>
      <c r="L753" s="6">
        <v>45376</v>
      </c>
      <c r="M753" t="s">
        <v>53</v>
      </c>
      <c r="N753" t="s">
        <v>1747</v>
      </c>
      <c r="O753" t="s">
        <v>114</v>
      </c>
      <c r="P753">
        <v>20</v>
      </c>
      <c r="Q753" t="s">
        <v>45</v>
      </c>
    </row>
    <row r="754" spans="1:17">
      <c r="A754">
        <v>41</v>
      </c>
      <c r="B754" t="s">
        <v>137</v>
      </c>
      <c r="C754" t="s">
        <v>144</v>
      </c>
      <c r="D754" t="s">
        <v>32</v>
      </c>
      <c r="E754" s="6">
        <v>45365</v>
      </c>
      <c r="F754" t="s">
        <v>897</v>
      </c>
      <c r="G754" t="s">
        <v>1690</v>
      </c>
      <c r="H754" t="s">
        <v>38</v>
      </c>
      <c r="I754" s="4">
        <v>17948.64412400227</v>
      </c>
      <c r="J754">
        <v>218</v>
      </c>
      <c r="K754" t="s">
        <v>35</v>
      </c>
      <c r="L754" s="6">
        <v>45385</v>
      </c>
      <c r="M754" t="s">
        <v>51</v>
      </c>
      <c r="N754" t="s">
        <v>1747</v>
      </c>
      <c r="O754" t="s">
        <v>114</v>
      </c>
      <c r="P754">
        <v>20</v>
      </c>
      <c r="Q754" t="s">
        <v>46</v>
      </c>
    </row>
    <row r="755" spans="1:17">
      <c r="A755">
        <v>66</v>
      </c>
      <c r="B755" t="s">
        <v>138</v>
      </c>
      <c r="C755" t="s">
        <v>145</v>
      </c>
      <c r="D755" t="s">
        <v>31</v>
      </c>
      <c r="E755" s="6">
        <v>45361</v>
      </c>
      <c r="F755" t="s">
        <v>898</v>
      </c>
      <c r="G755" t="s">
        <v>1691</v>
      </c>
      <c r="H755" t="s">
        <v>40</v>
      </c>
      <c r="I755" s="4">
        <v>38587.05808239076</v>
      </c>
      <c r="J755">
        <v>330</v>
      </c>
      <c r="K755" t="s">
        <v>36</v>
      </c>
      <c r="L755" s="6">
        <v>45389</v>
      </c>
      <c r="M755" t="s">
        <v>54</v>
      </c>
      <c r="N755" t="s">
        <v>1746</v>
      </c>
      <c r="O755" t="s">
        <v>114</v>
      </c>
      <c r="P755">
        <v>28</v>
      </c>
      <c r="Q755" t="s">
        <v>48</v>
      </c>
    </row>
    <row r="756" spans="1:17">
      <c r="A756">
        <v>39</v>
      </c>
      <c r="B756" t="s">
        <v>137</v>
      </c>
      <c r="C756" t="s">
        <v>142</v>
      </c>
      <c r="D756" t="s">
        <v>28</v>
      </c>
      <c r="E756" s="6">
        <v>45374</v>
      </c>
      <c r="F756" t="s">
        <v>899</v>
      </c>
      <c r="G756" t="s">
        <v>1692</v>
      </c>
      <c r="H756" t="s">
        <v>38</v>
      </c>
      <c r="I756" s="4">
        <v>10674.46595248001</v>
      </c>
      <c r="J756">
        <v>365</v>
      </c>
      <c r="K756" t="s">
        <v>34</v>
      </c>
      <c r="L756" s="6">
        <v>45393</v>
      </c>
      <c r="M756" t="s">
        <v>53</v>
      </c>
      <c r="N756" t="s">
        <v>1748</v>
      </c>
      <c r="O756" t="s">
        <v>114</v>
      </c>
      <c r="P756">
        <v>19</v>
      </c>
      <c r="Q756" t="s">
        <v>46</v>
      </c>
    </row>
    <row r="757" spans="1:17">
      <c r="A757">
        <v>27</v>
      </c>
      <c r="B757" t="s">
        <v>137</v>
      </c>
      <c r="C757" t="s">
        <v>139</v>
      </c>
      <c r="D757" t="s">
        <v>30</v>
      </c>
      <c r="E757" s="6">
        <v>45371</v>
      </c>
      <c r="F757" t="s">
        <v>900</v>
      </c>
      <c r="G757" t="s">
        <v>1693</v>
      </c>
      <c r="H757" t="s">
        <v>40</v>
      </c>
      <c r="I757" s="4">
        <v>18302.8370799097</v>
      </c>
      <c r="J757">
        <v>352</v>
      </c>
      <c r="K757" t="s">
        <v>36</v>
      </c>
      <c r="L757" s="6">
        <v>45373</v>
      </c>
      <c r="M757" t="s">
        <v>53</v>
      </c>
      <c r="N757" t="s">
        <v>1746</v>
      </c>
      <c r="O757" t="s">
        <v>114</v>
      </c>
      <c r="P757">
        <v>2</v>
      </c>
      <c r="Q757" t="s">
        <v>45</v>
      </c>
    </row>
    <row r="758" spans="1:17">
      <c r="A758">
        <v>77</v>
      </c>
      <c r="B758" t="s">
        <v>138</v>
      </c>
      <c r="C758" t="s">
        <v>139</v>
      </c>
      <c r="D758" t="s">
        <v>31</v>
      </c>
      <c r="E758" s="6">
        <v>45363</v>
      </c>
      <c r="F758" t="s">
        <v>901</v>
      </c>
      <c r="G758" t="s">
        <v>1694</v>
      </c>
      <c r="H758" t="s">
        <v>39</v>
      </c>
      <c r="I758" s="4">
        <v>19624.88027564839</v>
      </c>
      <c r="J758">
        <v>118</v>
      </c>
      <c r="K758" t="s">
        <v>34</v>
      </c>
      <c r="L758" s="6">
        <v>45381</v>
      </c>
      <c r="M758" t="s">
        <v>52</v>
      </c>
      <c r="N758" t="s">
        <v>1747</v>
      </c>
      <c r="O758" t="s">
        <v>114</v>
      </c>
      <c r="P758">
        <v>18</v>
      </c>
      <c r="Q758" t="s">
        <v>48</v>
      </c>
    </row>
    <row r="759" spans="1:17">
      <c r="A759">
        <v>22</v>
      </c>
      <c r="B759" t="s">
        <v>138</v>
      </c>
      <c r="C759" t="s">
        <v>144</v>
      </c>
      <c r="D759" t="s">
        <v>31</v>
      </c>
      <c r="E759" s="6">
        <v>45352</v>
      </c>
      <c r="F759" t="s">
        <v>902</v>
      </c>
      <c r="G759" t="s">
        <v>1695</v>
      </c>
      <c r="H759" t="s">
        <v>41</v>
      </c>
      <c r="I759" s="4">
        <v>29089.86919924074</v>
      </c>
      <c r="J759">
        <v>280</v>
      </c>
      <c r="K759" t="s">
        <v>34</v>
      </c>
      <c r="L759" s="6">
        <v>45357</v>
      </c>
      <c r="M759" t="s">
        <v>54</v>
      </c>
      <c r="N759" t="s">
        <v>1746</v>
      </c>
      <c r="O759" t="s">
        <v>114</v>
      </c>
      <c r="P759">
        <v>5</v>
      </c>
      <c r="Q759" t="s">
        <v>45</v>
      </c>
    </row>
    <row r="760" spans="1:17">
      <c r="A760">
        <v>27</v>
      </c>
      <c r="B760" t="s">
        <v>138</v>
      </c>
      <c r="C760" t="s">
        <v>145</v>
      </c>
      <c r="D760" t="s">
        <v>29</v>
      </c>
      <c r="E760" s="6">
        <v>45378</v>
      </c>
      <c r="F760" t="s">
        <v>903</v>
      </c>
      <c r="G760" t="s">
        <v>1696</v>
      </c>
      <c r="H760" t="s">
        <v>42</v>
      </c>
      <c r="I760" s="4">
        <v>17929.74771682703</v>
      </c>
      <c r="J760">
        <v>388</v>
      </c>
      <c r="K760" t="s">
        <v>35</v>
      </c>
      <c r="L760" s="6">
        <v>45408</v>
      </c>
      <c r="M760" t="s">
        <v>53</v>
      </c>
      <c r="N760" t="s">
        <v>1748</v>
      </c>
      <c r="O760" t="s">
        <v>114</v>
      </c>
      <c r="P760">
        <v>30</v>
      </c>
      <c r="Q760" t="s">
        <v>45</v>
      </c>
    </row>
    <row r="761" spans="1:17">
      <c r="A761">
        <v>51</v>
      </c>
      <c r="B761" t="s">
        <v>137</v>
      </c>
      <c r="C761" t="s">
        <v>146</v>
      </c>
      <c r="D761" t="s">
        <v>27</v>
      </c>
      <c r="E761" s="6">
        <v>45363</v>
      </c>
      <c r="F761" t="s">
        <v>904</v>
      </c>
      <c r="G761" t="s">
        <v>1697</v>
      </c>
      <c r="H761" t="s">
        <v>38</v>
      </c>
      <c r="I761" s="4">
        <v>44684.95299285708</v>
      </c>
      <c r="J761">
        <v>467</v>
      </c>
      <c r="K761" t="s">
        <v>34</v>
      </c>
      <c r="L761" s="6">
        <v>45368</v>
      </c>
      <c r="M761" t="s">
        <v>54</v>
      </c>
      <c r="N761" t="s">
        <v>1746</v>
      </c>
      <c r="O761" t="s">
        <v>114</v>
      </c>
      <c r="P761">
        <v>5</v>
      </c>
      <c r="Q761" t="s">
        <v>47</v>
      </c>
    </row>
    <row r="762" spans="1:17">
      <c r="A762">
        <v>18</v>
      </c>
      <c r="B762" t="s">
        <v>137</v>
      </c>
      <c r="C762" t="s">
        <v>139</v>
      </c>
      <c r="D762" t="s">
        <v>30</v>
      </c>
      <c r="E762" s="6">
        <v>45374</v>
      </c>
      <c r="F762" t="s">
        <v>905</v>
      </c>
      <c r="G762" t="s">
        <v>1698</v>
      </c>
      <c r="H762" t="s">
        <v>41</v>
      </c>
      <c r="I762" s="4">
        <v>28684.94889489328</v>
      </c>
      <c r="J762">
        <v>439</v>
      </c>
      <c r="K762" t="s">
        <v>35</v>
      </c>
      <c r="L762" s="6">
        <v>45385</v>
      </c>
      <c r="M762" t="s">
        <v>50</v>
      </c>
      <c r="N762" t="s">
        <v>1746</v>
      </c>
      <c r="O762" t="s">
        <v>114</v>
      </c>
      <c r="P762">
        <v>11</v>
      </c>
      <c r="Q762" t="s">
        <v>44</v>
      </c>
    </row>
    <row r="763" spans="1:17">
      <c r="A763">
        <v>83</v>
      </c>
      <c r="B763" t="s">
        <v>138</v>
      </c>
      <c r="C763" t="s">
        <v>142</v>
      </c>
      <c r="D763" t="s">
        <v>27</v>
      </c>
      <c r="E763" s="6">
        <v>45382</v>
      </c>
      <c r="F763" t="s">
        <v>906</v>
      </c>
      <c r="G763" t="s">
        <v>1699</v>
      </c>
      <c r="H763" t="s">
        <v>38</v>
      </c>
      <c r="I763" s="4">
        <v>41476.23642264549</v>
      </c>
      <c r="J763">
        <v>215</v>
      </c>
      <c r="K763" t="s">
        <v>34</v>
      </c>
      <c r="L763" s="6">
        <v>45384</v>
      </c>
      <c r="M763" t="s">
        <v>52</v>
      </c>
      <c r="N763" t="s">
        <v>1746</v>
      </c>
      <c r="O763" t="s">
        <v>114</v>
      </c>
      <c r="P763">
        <v>2</v>
      </c>
      <c r="Q763" t="s">
        <v>48</v>
      </c>
    </row>
    <row r="764" spans="1:17">
      <c r="A764">
        <v>19</v>
      </c>
      <c r="B764" t="s">
        <v>138</v>
      </c>
      <c r="C764" t="s">
        <v>146</v>
      </c>
      <c r="D764" t="s">
        <v>32</v>
      </c>
      <c r="E764" s="6">
        <v>45376</v>
      </c>
      <c r="F764" t="s">
        <v>907</v>
      </c>
      <c r="G764" t="s">
        <v>1365</v>
      </c>
      <c r="H764" t="s">
        <v>42</v>
      </c>
      <c r="I764" s="4">
        <v>22119.90190308762</v>
      </c>
      <c r="J764">
        <v>327</v>
      </c>
      <c r="K764" t="s">
        <v>36</v>
      </c>
      <c r="L764" s="6">
        <v>45395</v>
      </c>
      <c r="M764" t="s">
        <v>51</v>
      </c>
      <c r="N764" t="s">
        <v>1748</v>
      </c>
      <c r="O764" t="s">
        <v>114</v>
      </c>
      <c r="P764">
        <v>19</v>
      </c>
      <c r="Q764" t="s">
        <v>45</v>
      </c>
    </row>
    <row r="765" spans="1:17">
      <c r="A765">
        <v>77</v>
      </c>
      <c r="B765" t="s">
        <v>138</v>
      </c>
      <c r="C765" t="s">
        <v>143</v>
      </c>
      <c r="D765" t="s">
        <v>30</v>
      </c>
      <c r="E765" s="6">
        <v>45364</v>
      </c>
      <c r="F765" t="s">
        <v>908</v>
      </c>
      <c r="G765" t="s">
        <v>1700</v>
      </c>
      <c r="H765" t="s">
        <v>39</v>
      </c>
      <c r="I765" s="4">
        <v>2405.539231954249</v>
      </c>
      <c r="J765">
        <v>203</v>
      </c>
      <c r="K765" t="s">
        <v>35</v>
      </c>
      <c r="L765" s="6">
        <v>45393</v>
      </c>
      <c r="M765" t="s">
        <v>51</v>
      </c>
      <c r="N765" t="s">
        <v>1747</v>
      </c>
      <c r="O765" t="s">
        <v>114</v>
      </c>
      <c r="P765">
        <v>29</v>
      </c>
      <c r="Q765" t="s">
        <v>48</v>
      </c>
    </row>
    <row r="766" spans="1:17">
      <c r="A766">
        <v>65</v>
      </c>
      <c r="B766" t="s">
        <v>137</v>
      </c>
      <c r="C766" t="s">
        <v>143</v>
      </c>
      <c r="D766" t="s">
        <v>29</v>
      </c>
      <c r="E766" s="6">
        <v>45369</v>
      </c>
      <c r="F766" t="s">
        <v>909</v>
      </c>
      <c r="G766" t="s">
        <v>1701</v>
      </c>
      <c r="H766" t="s">
        <v>38</v>
      </c>
      <c r="I766" s="4">
        <v>39348.87058804229</v>
      </c>
      <c r="J766">
        <v>249</v>
      </c>
      <c r="K766" t="s">
        <v>35</v>
      </c>
      <c r="L766" s="6">
        <v>45399</v>
      </c>
      <c r="M766" t="s">
        <v>52</v>
      </c>
      <c r="N766" t="s">
        <v>1747</v>
      </c>
      <c r="O766" t="s">
        <v>114</v>
      </c>
      <c r="P766">
        <v>30</v>
      </c>
      <c r="Q766" t="s">
        <v>47</v>
      </c>
    </row>
    <row r="767" spans="1:17">
      <c r="A767">
        <v>47</v>
      </c>
      <c r="B767" t="s">
        <v>138</v>
      </c>
      <c r="C767" t="s">
        <v>140</v>
      </c>
      <c r="D767" t="s">
        <v>28</v>
      </c>
      <c r="E767" s="6">
        <v>45359</v>
      </c>
      <c r="F767" t="s">
        <v>679</v>
      </c>
      <c r="G767" t="s">
        <v>1702</v>
      </c>
      <c r="H767" t="s">
        <v>42</v>
      </c>
      <c r="I767" s="4">
        <v>32523.59740391675</v>
      </c>
      <c r="J767">
        <v>462</v>
      </c>
      <c r="K767" t="s">
        <v>34</v>
      </c>
      <c r="L767" s="6">
        <v>45387</v>
      </c>
      <c r="M767" t="s">
        <v>51</v>
      </c>
      <c r="N767" t="s">
        <v>1746</v>
      </c>
      <c r="O767" t="s">
        <v>114</v>
      </c>
      <c r="P767">
        <v>28</v>
      </c>
      <c r="Q767" t="s">
        <v>46</v>
      </c>
    </row>
    <row r="768" spans="1:17">
      <c r="A768">
        <v>65</v>
      </c>
      <c r="B768" t="s">
        <v>138</v>
      </c>
      <c r="C768" t="s">
        <v>139</v>
      </c>
      <c r="D768" t="s">
        <v>30</v>
      </c>
      <c r="E768" s="6">
        <v>45367</v>
      </c>
      <c r="F768" t="s">
        <v>910</v>
      </c>
      <c r="G768" t="s">
        <v>1703</v>
      </c>
      <c r="H768" t="s">
        <v>38</v>
      </c>
      <c r="I768" s="4">
        <v>25697.48683024</v>
      </c>
      <c r="J768">
        <v>233</v>
      </c>
      <c r="K768" t="s">
        <v>36</v>
      </c>
      <c r="L768" s="6">
        <v>45373</v>
      </c>
      <c r="M768" t="s">
        <v>54</v>
      </c>
      <c r="N768" t="s">
        <v>1747</v>
      </c>
      <c r="O768" t="s">
        <v>114</v>
      </c>
      <c r="P768">
        <v>6</v>
      </c>
      <c r="Q768" t="s">
        <v>47</v>
      </c>
    </row>
    <row r="769" spans="1:17">
      <c r="A769">
        <v>37</v>
      </c>
      <c r="B769" t="s">
        <v>138</v>
      </c>
      <c r="C769" t="s">
        <v>146</v>
      </c>
      <c r="D769" t="s">
        <v>29</v>
      </c>
      <c r="E769" s="6">
        <v>45374</v>
      </c>
      <c r="F769" t="s">
        <v>911</v>
      </c>
      <c r="G769" t="s">
        <v>1704</v>
      </c>
      <c r="H769" t="s">
        <v>42</v>
      </c>
      <c r="I769" s="4">
        <v>23018.36025606591</v>
      </c>
      <c r="J769">
        <v>458</v>
      </c>
      <c r="K769" t="s">
        <v>35</v>
      </c>
      <c r="L769" s="6">
        <v>45401</v>
      </c>
      <c r="M769" t="s">
        <v>52</v>
      </c>
      <c r="N769" t="s">
        <v>1748</v>
      </c>
      <c r="O769" t="s">
        <v>114</v>
      </c>
      <c r="P769">
        <v>27</v>
      </c>
      <c r="Q769" t="s">
        <v>46</v>
      </c>
    </row>
    <row r="770" spans="1:17">
      <c r="A770">
        <v>67</v>
      </c>
      <c r="B770" t="s">
        <v>138</v>
      </c>
      <c r="C770" t="s">
        <v>139</v>
      </c>
      <c r="D770" t="s">
        <v>31</v>
      </c>
      <c r="E770" s="6">
        <v>45367</v>
      </c>
      <c r="F770" t="s">
        <v>912</v>
      </c>
      <c r="G770" t="s">
        <v>1705</v>
      </c>
      <c r="H770" t="s">
        <v>39</v>
      </c>
      <c r="I770" s="4">
        <v>41829.77245079371</v>
      </c>
      <c r="J770">
        <v>422</v>
      </c>
      <c r="K770" t="s">
        <v>36</v>
      </c>
      <c r="L770" s="6">
        <v>45382</v>
      </c>
      <c r="M770" t="s">
        <v>51</v>
      </c>
      <c r="N770" t="s">
        <v>1747</v>
      </c>
      <c r="O770" t="s">
        <v>114</v>
      </c>
      <c r="P770">
        <v>15</v>
      </c>
      <c r="Q770" t="s">
        <v>48</v>
      </c>
    </row>
    <row r="771" spans="1:17">
      <c r="A771">
        <v>21</v>
      </c>
      <c r="B771" t="s">
        <v>137</v>
      </c>
      <c r="C771" t="s">
        <v>141</v>
      </c>
      <c r="D771" t="s">
        <v>30</v>
      </c>
      <c r="E771" s="6">
        <v>45356</v>
      </c>
      <c r="F771" t="s">
        <v>913</v>
      </c>
      <c r="G771" t="s">
        <v>1706</v>
      </c>
      <c r="H771" t="s">
        <v>39</v>
      </c>
      <c r="I771" s="4">
        <v>31381.33356403997</v>
      </c>
      <c r="J771">
        <v>308</v>
      </c>
      <c r="K771" t="s">
        <v>36</v>
      </c>
      <c r="L771" s="6">
        <v>45379</v>
      </c>
      <c r="M771" t="s">
        <v>51</v>
      </c>
      <c r="N771" t="s">
        <v>1747</v>
      </c>
      <c r="O771" t="s">
        <v>114</v>
      </c>
      <c r="P771">
        <v>23</v>
      </c>
      <c r="Q771" t="s">
        <v>45</v>
      </c>
    </row>
    <row r="772" spans="1:17">
      <c r="A772">
        <v>52</v>
      </c>
      <c r="B772" t="s">
        <v>137</v>
      </c>
      <c r="C772" t="s">
        <v>146</v>
      </c>
      <c r="D772" t="s">
        <v>28</v>
      </c>
      <c r="E772" s="6">
        <v>45361</v>
      </c>
      <c r="F772" t="s">
        <v>914</v>
      </c>
      <c r="G772" t="s">
        <v>1707</v>
      </c>
      <c r="H772" t="s">
        <v>38</v>
      </c>
      <c r="I772" s="4">
        <v>28005.64721304276</v>
      </c>
      <c r="J772">
        <v>311</v>
      </c>
      <c r="K772" t="s">
        <v>36</v>
      </c>
      <c r="L772" s="6">
        <v>45390</v>
      </c>
      <c r="M772" t="s">
        <v>54</v>
      </c>
      <c r="N772" t="s">
        <v>1747</v>
      </c>
      <c r="O772" t="s">
        <v>114</v>
      </c>
      <c r="P772">
        <v>29</v>
      </c>
      <c r="Q772" t="s">
        <v>47</v>
      </c>
    </row>
    <row r="773" spans="1:17">
      <c r="A773">
        <v>65</v>
      </c>
      <c r="B773" t="s">
        <v>138</v>
      </c>
      <c r="C773" t="s">
        <v>140</v>
      </c>
      <c r="D773" t="s">
        <v>27</v>
      </c>
      <c r="E773" s="6">
        <v>45364</v>
      </c>
      <c r="F773" t="s">
        <v>915</v>
      </c>
      <c r="G773" t="s">
        <v>1708</v>
      </c>
      <c r="H773" t="s">
        <v>39</v>
      </c>
      <c r="I773" s="4">
        <v>2771.425853548002</v>
      </c>
      <c r="J773">
        <v>339</v>
      </c>
      <c r="K773" t="s">
        <v>34</v>
      </c>
      <c r="L773" s="6">
        <v>45380</v>
      </c>
      <c r="M773" t="s">
        <v>53</v>
      </c>
      <c r="N773" t="s">
        <v>1746</v>
      </c>
      <c r="O773" t="s">
        <v>114</v>
      </c>
      <c r="P773">
        <v>16</v>
      </c>
      <c r="Q773" t="s">
        <v>47</v>
      </c>
    </row>
    <row r="774" spans="1:17">
      <c r="A774">
        <v>73</v>
      </c>
      <c r="B774" t="s">
        <v>138</v>
      </c>
      <c r="C774" t="s">
        <v>139</v>
      </c>
      <c r="D774" t="s">
        <v>32</v>
      </c>
      <c r="E774" s="6">
        <v>45370</v>
      </c>
      <c r="F774" t="s">
        <v>916</v>
      </c>
      <c r="G774" t="s">
        <v>1709</v>
      </c>
      <c r="H774" t="s">
        <v>42</v>
      </c>
      <c r="I774" s="4">
        <v>44477.481646592</v>
      </c>
      <c r="J774">
        <v>198</v>
      </c>
      <c r="K774" t="s">
        <v>35</v>
      </c>
      <c r="L774" s="6">
        <v>45377</v>
      </c>
      <c r="M774" t="s">
        <v>51</v>
      </c>
      <c r="N774" t="s">
        <v>1747</v>
      </c>
      <c r="O774" t="s">
        <v>114</v>
      </c>
      <c r="P774">
        <v>7</v>
      </c>
      <c r="Q774" t="s">
        <v>48</v>
      </c>
    </row>
    <row r="775" spans="1:17">
      <c r="A775">
        <v>22</v>
      </c>
      <c r="B775" t="s">
        <v>137</v>
      </c>
      <c r="C775" t="s">
        <v>143</v>
      </c>
      <c r="D775" t="s">
        <v>30</v>
      </c>
      <c r="E775" s="6">
        <v>45367</v>
      </c>
      <c r="F775" t="s">
        <v>917</v>
      </c>
      <c r="G775" t="s">
        <v>1710</v>
      </c>
      <c r="H775" t="s">
        <v>42</v>
      </c>
      <c r="I775" s="4">
        <v>29230.37069568553</v>
      </c>
      <c r="J775">
        <v>276</v>
      </c>
      <c r="K775" t="s">
        <v>34</v>
      </c>
      <c r="L775" s="6">
        <v>45371</v>
      </c>
      <c r="M775" t="s">
        <v>54</v>
      </c>
      <c r="N775" t="s">
        <v>1747</v>
      </c>
      <c r="O775" t="s">
        <v>114</v>
      </c>
      <c r="P775">
        <v>4</v>
      </c>
      <c r="Q775" t="s">
        <v>45</v>
      </c>
    </row>
    <row r="776" spans="1:17">
      <c r="A776">
        <v>84</v>
      </c>
      <c r="B776" t="s">
        <v>137</v>
      </c>
      <c r="C776" t="s">
        <v>142</v>
      </c>
      <c r="D776" t="s">
        <v>27</v>
      </c>
      <c r="E776" s="6">
        <v>45372</v>
      </c>
      <c r="F776" t="s">
        <v>918</v>
      </c>
      <c r="G776" t="s">
        <v>1711</v>
      </c>
      <c r="H776" t="s">
        <v>38</v>
      </c>
      <c r="I776" s="4">
        <v>31701.93165660351</v>
      </c>
      <c r="J776">
        <v>441</v>
      </c>
      <c r="K776" t="s">
        <v>36</v>
      </c>
      <c r="L776" s="6">
        <v>45379</v>
      </c>
      <c r="M776" t="s">
        <v>54</v>
      </c>
      <c r="N776" t="s">
        <v>1746</v>
      </c>
      <c r="O776" t="s">
        <v>114</v>
      </c>
      <c r="P776">
        <v>7</v>
      </c>
      <c r="Q776" t="s">
        <v>48</v>
      </c>
    </row>
    <row r="777" spans="1:17">
      <c r="A777">
        <v>53</v>
      </c>
      <c r="B777" t="s">
        <v>138</v>
      </c>
      <c r="C777" t="s">
        <v>141</v>
      </c>
      <c r="D777" t="s">
        <v>28</v>
      </c>
      <c r="E777" s="6">
        <v>45370</v>
      </c>
      <c r="F777" t="s">
        <v>919</v>
      </c>
      <c r="G777" t="s">
        <v>1712</v>
      </c>
      <c r="H777" t="s">
        <v>38</v>
      </c>
      <c r="I777" s="4">
        <v>45873.53140818761</v>
      </c>
      <c r="J777">
        <v>386</v>
      </c>
      <c r="K777" t="s">
        <v>35</v>
      </c>
      <c r="L777" s="6">
        <v>45388</v>
      </c>
      <c r="M777" t="s">
        <v>50</v>
      </c>
      <c r="N777" t="s">
        <v>1746</v>
      </c>
      <c r="O777" t="s">
        <v>114</v>
      </c>
      <c r="P777">
        <v>18</v>
      </c>
      <c r="Q777" t="s">
        <v>47</v>
      </c>
    </row>
    <row r="778" spans="1:17">
      <c r="A778">
        <v>73</v>
      </c>
      <c r="B778" t="s">
        <v>138</v>
      </c>
      <c r="C778" t="s">
        <v>139</v>
      </c>
      <c r="D778" t="s">
        <v>29</v>
      </c>
      <c r="E778" s="6">
        <v>45368</v>
      </c>
      <c r="F778" t="s">
        <v>920</v>
      </c>
      <c r="G778" t="s">
        <v>1713</v>
      </c>
      <c r="H778" t="s">
        <v>41</v>
      </c>
      <c r="I778" s="4">
        <v>16009.55404226335</v>
      </c>
      <c r="J778">
        <v>388</v>
      </c>
      <c r="K778" t="s">
        <v>35</v>
      </c>
      <c r="L778" s="6">
        <v>45378</v>
      </c>
      <c r="M778" t="s">
        <v>54</v>
      </c>
      <c r="N778" t="s">
        <v>1748</v>
      </c>
      <c r="O778" t="s">
        <v>114</v>
      </c>
      <c r="P778">
        <v>10</v>
      </c>
      <c r="Q778" t="s">
        <v>48</v>
      </c>
    </row>
    <row r="779" spans="1:17">
      <c r="A779">
        <v>64</v>
      </c>
      <c r="B779" t="s">
        <v>138</v>
      </c>
      <c r="C779" t="s">
        <v>141</v>
      </c>
      <c r="D779" t="s">
        <v>32</v>
      </c>
      <c r="E779" s="6">
        <v>45376</v>
      </c>
      <c r="F779" t="s">
        <v>921</v>
      </c>
      <c r="G779" t="s">
        <v>1714</v>
      </c>
      <c r="H779" t="s">
        <v>42</v>
      </c>
      <c r="I779" s="4">
        <v>28924.48164838272</v>
      </c>
      <c r="J779">
        <v>199</v>
      </c>
      <c r="K779" t="s">
        <v>36</v>
      </c>
      <c r="L779" s="6">
        <v>45381</v>
      </c>
      <c r="M779" t="s">
        <v>50</v>
      </c>
      <c r="N779" t="s">
        <v>1748</v>
      </c>
      <c r="O779" t="s">
        <v>114</v>
      </c>
      <c r="P779">
        <v>5</v>
      </c>
      <c r="Q779" t="s">
        <v>47</v>
      </c>
    </row>
    <row r="780" spans="1:17">
      <c r="A780">
        <v>26</v>
      </c>
      <c r="B780" t="s">
        <v>137</v>
      </c>
      <c r="C780" t="s">
        <v>146</v>
      </c>
      <c r="D780" t="s">
        <v>27</v>
      </c>
      <c r="E780" s="6">
        <v>45375</v>
      </c>
      <c r="F780" t="s">
        <v>922</v>
      </c>
      <c r="G780" t="s">
        <v>1715</v>
      </c>
      <c r="H780" t="s">
        <v>38</v>
      </c>
      <c r="I780" s="4">
        <v>9610.452098069571</v>
      </c>
      <c r="J780">
        <v>277</v>
      </c>
      <c r="K780" t="s">
        <v>34</v>
      </c>
      <c r="L780" s="6">
        <v>45379</v>
      </c>
      <c r="M780" t="s">
        <v>53</v>
      </c>
      <c r="N780" t="s">
        <v>1747</v>
      </c>
      <c r="O780" t="s">
        <v>114</v>
      </c>
      <c r="P780">
        <v>4</v>
      </c>
      <c r="Q780" t="s">
        <v>45</v>
      </c>
    </row>
    <row r="781" spans="1:17">
      <c r="A781">
        <v>24</v>
      </c>
      <c r="B781" t="s">
        <v>138</v>
      </c>
      <c r="C781" t="s">
        <v>140</v>
      </c>
      <c r="D781" t="s">
        <v>31</v>
      </c>
      <c r="E781" s="6">
        <v>45358</v>
      </c>
      <c r="F781" t="s">
        <v>923</v>
      </c>
      <c r="G781" t="s">
        <v>1716</v>
      </c>
      <c r="H781" t="s">
        <v>40</v>
      </c>
      <c r="I781" s="4">
        <v>48495.96296274642</v>
      </c>
      <c r="J781">
        <v>430</v>
      </c>
      <c r="K781" t="s">
        <v>35</v>
      </c>
      <c r="L781" s="6">
        <v>45372</v>
      </c>
      <c r="M781" t="s">
        <v>52</v>
      </c>
      <c r="N781" t="s">
        <v>1746</v>
      </c>
      <c r="O781" t="s">
        <v>114</v>
      </c>
      <c r="P781">
        <v>14</v>
      </c>
      <c r="Q781" t="s">
        <v>45</v>
      </c>
    </row>
    <row r="782" spans="1:17">
      <c r="A782">
        <v>54</v>
      </c>
      <c r="B782" t="s">
        <v>137</v>
      </c>
      <c r="C782" t="s">
        <v>144</v>
      </c>
      <c r="D782" t="s">
        <v>29</v>
      </c>
      <c r="E782" s="6">
        <v>45377</v>
      </c>
      <c r="F782" t="s">
        <v>924</v>
      </c>
      <c r="G782" t="s">
        <v>1717</v>
      </c>
      <c r="H782" t="s">
        <v>38</v>
      </c>
      <c r="I782" s="4">
        <v>22545.99055700944</v>
      </c>
      <c r="J782">
        <v>279</v>
      </c>
      <c r="K782" t="s">
        <v>35</v>
      </c>
      <c r="L782" s="6">
        <v>45404</v>
      </c>
      <c r="M782" t="s">
        <v>50</v>
      </c>
      <c r="N782" t="s">
        <v>1746</v>
      </c>
      <c r="O782" t="s">
        <v>114</v>
      </c>
      <c r="P782">
        <v>27</v>
      </c>
      <c r="Q782" t="s">
        <v>47</v>
      </c>
    </row>
    <row r="783" spans="1:17">
      <c r="A783">
        <v>50</v>
      </c>
      <c r="B783" t="s">
        <v>137</v>
      </c>
      <c r="C783" t="s">
        <v>146</v>
      </c>
      <c r="D783" t="s">
        <v>27</v>
      </c>
      <c r="E783" s="6">
        <v>45359</v>
      </c>
      <c r="F783" t="s">
        <v>925</v>
      </c>
      <c r="G783" t="s">
        <v>1718</v>
      </c>
      <c r="H783" t="s">
        <v>38</v>
      </c>
      <c r="I783" s="4">
        <v>18439.20399845233</v>
      </c>
      <c r="J783">
        <v>373</v>
      </c>
      <c r="K783" t="s">
        <v>35</v>
      </c>
      <c r="L783" s="6">
        <v>45374</v>
      </c>
      <c r="M783" t="s">
        <v>53</v>
      </c>
      <c r="N783" t="s">
        <v>1747</v>
      </c>
      <c r="O783" t="s">
        <v>114</v>
      </c>
      <c r="P783">
        <v>15</v>
      </c>
      <c r="Q783" t="s">
        <v>46</v>
      </c>
    </row>
    <row r="784" spans="1:17">
      <c r="A784">
        <v>81</v>
      </c>
      <c r="B784" t="s">
        <v>138</v>
      </c>
      <c r="C784" t="s">
        <v>143</v>
      </c>
      <c r="D784" t="s">
        <v>28</v>
      </c>
      <c r="E784" s="6">
        <v>45376</v>
      </c>
      <c r="F784" t="s">
        <v>926</v>
      </c>
      <c r="G784" t="s">
        <v>1719</v>
      </c>
      <c r="H784" t="s">
        <v>41</v>
      </c>
      <c r="I784" s="4">
        <v>7362.910527622265</v>
      </c>
      <c r="J784">
        <v>420</v>
      </c>
      <c r="K784" t="s">
        <v>36</v>
      </c>
      <c r="L784" s="6">
        <v>45381</v>
      </c>
      <c r="M784" t="s">
        <v>54</v>
      </c>
      <c r="N784" t="s">
        <v>1747</v>
      </c>
      <c r="O784" t="s">
        <v>114</v>
      </c>
      <c r="P784">
        <v>5</v>
      </c>
      <c r="Q784" t="s">
        <v>48</v>
      </c>
    </row>
    <row r="785" spans="1:17">
      <c r="A785">
        <v>55</v>
      </c>
      <c r="B785" t="s">
        <v>138</v>
      </c>
      <c r="C785" t="s">
        <v>140</v>
      </c>
      <c r="D785" t="s">
        <v>30</v>
      </c>
      <c r="E785" s="6">
        <v>45375</v>
      </c>
      <c r="F785" t="s">
        <v>927</v>
      </c>
      <c r="G785" t="s">
        <v>1720</v>
      </c>
      <c r="H785" t="s">
        <v>41</v>
      </c>
      <c r="I785" s="4">
        <v>24232.62711988693</v>
      </c>
      <c r="J785">
        <v>487</v>
      </c>
      <c r="K785" t="s">
        <v>36</v>
      </c>
      <c r="L785" s="6">
        <v>45394</v>
      </c>
      <c r="M785" t="s">
        <v>54</v>
      </c>
      <c r="N785" t="s">
        <v>1747</v>
      </c>
      <c r="O785" t="s">
        <v>114</v>
      </c>
      <c r="P785">
        <v>19</v>
      </c>
      <c r="Q785" t="s">
        <v>47</v>
      </c>
    </row>
    <row r="786" spans="1:17">
      <c r="A786">
        <v>68</v>
      </c>
      <c r="B786" t="s">
        <v>138</v>
      </c>
      <c r="C786" t="s">
        <v>141</v>
      </c>
      <c r="D786" t="s">
        <v>27</v>
      </c>
      <c r="E786" s="6">
        <v>45366</v>
      </c>
      <c r="F786" t="s">
        <v>928</v>
      </c>
      <c r="G786" t="s">
        <v>1721</v>
      </c>
      <c r="H786" t="s">
        <v>38</v>
      </c>
      <c r="I786" s="4">
        <v>46613.47745125357</v>
      </c>
      <c r="J786">
        <v>330</v>
      </c>
      <c r="K786" t="s">
        <v>34</v>
      </c>
      <c r="L786" s="6">
        <v>45395</v>
      </c>
      <c r="M786" t="s">
        <v>51</v>
      </c>
      <c r="N786" t="s">
        <v>1747</v>
      </c>
      <c r="O786" t="s">
        <v>114</v>
      </c>
      <c r="P786">
        <v>29</v>
      </c>
      <c r="Q786" t="s">
        <v>48</v>
      </c>
    </row>
    <row r="787" spans="1:17">
      <c r="A787">
        <v>57</v>
      </c>
      <c r="B787" t="s">
        <v>137</v>
      </c>
      <c r="C787" t="s">
        <v>145</v>
      </c>
      <c r="D787" t="s">
        <v>28</v>
      </c>
      <c r="E787" s="6">
        <v>45379</v>
      </c>
      <c r="F787" t="s">
        <v>929</v>
      </c>
      <c r="G787" t="s">
        <v>1722</v>
      </c>
      <c r="H787" t="s">
        <v>39</v>
      </c>
      <c r="I787" s="4">
        <v>4761.014958695651</v>
      </c>
      <c r="J787">
        <v>423</v>
      </c>
      <c r="K787" t="s">
        <v>34</v>
      </c>
      <c r="L787" s="6">
        <v>45385</v>
      </c>
      <c r="M787" t="s">
        <v>52</v>
      </c>
      <c r="N787" t="s">
        <v>1747</v>
      </c>
      <c r="O787" t="s">
        <v>114</v>
      </c>
      <c r="P787">
        <v>6</v>
      </c>
      <c r="Q787" t="s">
        <v>47</v>
      </c>
    </row>
    <row r="788" spans="1:17">
      <c r="A788">
        <v>47</v>
      </c>
      <c r="B788" t="s">
        <v>137</v>
      </c>
      <c r="C788" t="s">
        <v>139</v>
      </c>
      <c r="D788" t="s">
        <v>32</v>
      </c>
      <c r="E788" s="6">
        <v>45358</v>
      </c>
      <c r="F788" t="s">
        <v>930</v>
      </c>
      <c r="G788" t="s">
        <v>1723</v>
      </c>
      <c r="H788" t="s">
        <v>40</v>
      </c>
      <c r="I788" s="4">
        <v>4233.500991962183</v>
      </c>
      <c r="J788">
        <v>112</v>
      </c>
      <c r="K788" t="s">
        <v>35</v>
      </c>
      <c r="L788" s="6">
        <v>45383</v>
      </c>
      <c r="M788" t="s">
        <v>54</v>
      </c>
      <c r="N788" t="s">
        <v>1748</v>
      </c>
      <c r="O788" t="s">
        <v>114</v>
      </c>
      <c r="P788">
        <v>25</v>
      </c>
      <c r="Q788" t="s">
        <v>46</v>
      </c>
    </row>
    <row r="789" spans="1:17">
      <c r="A789">
        <v>20</v>
      </c>
      <c r="B789" t="s">
        <v>138</v>
      </c>
      <c r="C789" t="s">
        <v>146</v>
      </c>
      <c r="D789" t="s">
        <v>32</v>
      </c>
      <c r="E789" s="6">
        <v>45356</v>
      </c>
      <c r="F789" t="s">
        <v>931</v>
      </c>
      <c r="G789" t="s">
        <v>1724</v>
      </c>
      <c r="H789" t="s">
        <v>38</v>
      </c>
      <c r="I789" s="4">
        <v>26877.32440204525</v>
      </c>
      <c r="J789">
        <v>274</v>
      </c>
      <c r="K789" t="s">
        <v>34</v>
      </c>
      <c r="L789" s="6">
        <v>45384</v>
      </c>
      <c r="M789" t="s">
        <v>52</v>
      </c>
      <c r="N789" t="s">
        <v>1748</v>
      </c>
      <c r="O789" t="s">
        <v>114</v>
      </c>
      <c r="P789">
        <v>28</v>
      </c>
      <c r="Q789" t="s">
        <v>45</v>
      </c>
    </row>
    <row r="790" spans="1:17">
      <c r="A790">
        <v>58</v>
      </c>
      <c r="B790" t="s">
        <v>138</v>
      </c>
      <c r="C790" t="s">
        <v>143</v>
      </c>
      <c r="D790" t="s">
        <v>28</v>
      </c>
      <c r="E790" s="6">
        <v>45373</v>
      </c>
      <c r="F790" t="s">
        <v>932</v>
      </c>
      <c r="G790" t="s">
        <v>1725</v>
      </c>
      <c r="H790" t="s">
        <v>42</v>
      </c>
      <c r="I790" s="4">
        <v>39745.10899400208</v>
      </c>
      <c r="J790">
        <v>403</v>
      </c>
      <c r="K790" t="s">
        <v>34</v>
      </c>
      <c r="L790" s="6">
        <v>45402</v>
      </c>
      <c r="M790" t="s">
        <v>51</v>
      </c>
      <c r="N790" t="s">
        <v>1747</v>
      </c>
      <c r="O790" t="s">
        <v>114</v>
      </c>
      <c r="P790">
        <v>29</v>
      </c>
      <c r="Q790" t="s">
        <v>47</v>
      </c>
    </row>
    <row r="791" spans="1:17">
      <c r="A791">
        <v>32</v>
      </c>
      <c r="B791" t="s">
        <v>137</v>
      </c>
      <c r="C791" t="s">
        <v>146</v>
      </c>
      <c r="D791" t="s">
        <v>28</v>
      </c>
      <c r="E791" s="6">
        <v>45362</v>
      </c>
      <c r="F791" t="s">
        <v>933</v>
      </c>
      <c r="G791" t="s">
        <v>1726</v>
      </c>
      <c r="H791" t="s">
        <v>40</v>
      </c>
      <c r="I791" s="4">
        <v>4862.74725818999</v>
      </c>
      <c r="J791">
        <v>101</v>
      </c>
      <c r="K791" t="s">
        <v>34</v>
      </c>
      <c r="L791" s="6">
        <v>45377</v>
      </c>
      <c r="M791" t="s">
        <v>50</v>
      </c>
      <c r="N791" t="s">
        <v>1747</v>
      </c>
      <c r="O791" t="s">
        <v>114</v>
      </c>
      <c r="P791">
        <v>15</v>
      </c>
      <c r="Q791" t="s">
        <v>45</v>
      </c>
    </row>
    <row r="792" spans="1:17">
      <c r="A792">
        <v>70</v>
      </c>
      <c r="B792" t="s">
        <v>138</v>
      </c>
      <c r="C792" t="s">
        <v>145</v>
      </c>
      <c r="D792" t="s">
        <v>31</v>
      </c>
      <c r="E792" s="6">
        <v>45359</v>
      </c>
      <c r="F792" t="s">
        <v>934</v>
      </c>
      <c r="G792" t="s">
        <v>1727</v>
      </c>
      <c r="H792" t="s">
        <v>41</v>
      </c>
      <c r="I792" s="4">
        <v>7639.134681364602</v>
      </c>
      <c r="J792">
        <v>223</v>
      </c>
      <c r="K792" t="s">
        <v>36</v>
      </c>
      <c r="L792" s="6">
        <v>45389</v>
      </c>
      <c r="M792" t="s">
        <v>51</v>
      </c>
      <c r="N792" t="s">
        <v>1747</v>
      </c>
      <c r="O792" t="s">
        <v>114</v>
      </c>
      <c r="P792">
        <v>30</v>
      </c>
      <c r="Q792" t="s">
        <v>48</v>
      </c>
    </row>
    <row r="793" spans="1:17">
      <c r="A793">
        <v>37</v>
      </c>
      <c r="B793" t="s">
        <v>138</v>
      </c>
      <c r="C793" t="s">
        <v>146</v>
      </c>
      <c r="D793" t="s">
        <v>32</v>
      </c>
      <c r="E793" s="6">
        <v>45352</v>
      </c>
      <c r="F793" t="s">
        <v>935</v>
      </c>
      <c r="G793" t="s">
        <v>1728</v>
      </c>
      <c r="H793" t="s">
        <v>38</v>
      </c>
      <c r="I793" s="4">
        <v>39735.58653467645</v>
      </c>
      <c r="J793">
        <v>326</v>
      </c>
      <c r="K793" t="s">
        <v>34</v>
      </c>
      <c r="L793" s="6">
        <v>45368</v>
      </c>
      <c r="M793" t="s">
        <v>50</v>
      </c>
      <c r="N793" t="s">
        <v>1747</v>
      </c>
      <c r="O793" t="s">
        <v>114</v>
      </c>
      <c r="P793">
        <v>16</v>
      </c>
      <c r="Q793" t="s">
        <v>46</v>
      </c>
    </row>
    <row r="794" spans="1:17">
      <c r="A794">
        <v>80</v>
      </c>
      <c r="B794" t="s">
        <v>138</v>
      </c>
      <c r="C794" t="s">
        <v>145</v>
      </c>
      <c r="D794" t="s">
        <v>30</v>
      </c>
      <c r="E794" s="6">
        <v>45377</v>
      </c>
      <c r="F794" t="s">
        <v>936</v>
      </c>
      <c r="G794" t="s">
        <v>1729</v>
      </c>
      <c r="H794" t="s">
        <v>42</v>
      </c>
      <c r="I794" s="4">
        <v>6267.412867630634</v>
      </c>
      <c r="J794">
        <v>460</v>
      </c>
      <c r="K794" t="s">
        <v>34</v>
      </c>
      <c r="L794" s="6">
        <v>45382</v>
      </c>
      <c r="M794" t="s">
        <v>52</v>
      </c>
      <c r="N794" t="s">
        <v>1748</v>
      </c>
      <c r="O794" t="s">
        <v>114</v>
      </c>
      <c r="P794">
        <v>5</v>
      </c>
      <c r="Q794" t="s">
        <v>48</v>
      </c>
    </row>
    <row r="795" spans="1:17">
      <c r="A795">
        <v>20</v>
      </c>
      <c r="B795" t="s">
        <v>137</v>
      </c>
      <c r="C795" t="s">
        <v>140</v>
      </c>
      <c r="D795" t="s">
        <v>29</v>
      </c>
      <c r="E795" s="6">
        <v>45373</v>
      </c>
      <c r="F795" t="s">
        <v>937</v>
      </c>
      <c r="G795" t="s">
        <v>1730</v>
      </c>
      <c r="H795" t="s">
        <v>39</v>
      </c>
      <c r="I795" s="4">
        <v>10597.59854471604</v>
      </c>
      <c r="J795">
        <v>368</v>
      </c>
      <c r="K795" t="s">
        <v>36</v>
      </c>
      <c r="L795" s="6">
        <v>45376</v>
      </c>
      <c r="M795" t="s">
        <v>51</v>
      </c>
      <c r="N795" t="s">
        <v>1748</v>
      </c>
      <c r="O795" t="s">
        <v>114</v>
      </c>
      <c r="P795">
        <v>3</v>
      </c>
      <c r="Q795" t="s">
        <v>45</v>
      </c>
    </row>
    <row r="796" spans="1:17">
      <c r="A796">
        <v>21</v>
      </c>
      <c r="B796" t="s">
        <v>137</v>
      </c>
      <c r="C796" t="s">
        <v>140</v>
      </c>
      <c r="D796" t="s">
        <v>32</v>
      </c>
      <c r="E796" s="6">
        <v>45360</v>
      </c>
      <c r="F796" t="s">
        <v>938</v>
      </c>
      <c r="G796" t="s">
        <v>1731</v>
      </c>
      <c r="H796" t="s">
        <v>40</v>
      </c>
      <c r="I796" s="4">
        <v>13163.33346389188</v>
      </c>
      <c r="J796">
        <v>411</v>
      </c>
      <c r="K796" t="s">
        <v>34</v>
      </c>
      <c r="L796" s="6">
        <v>45385</v>
      </c>
      <c r="M796" t="s">
        <v>51</v>
      </c>
      <c r="N796" t="s">
        <v>1747</v>
      </c>
      <c r="O796" t="s">
        <v>114</v>
      </c>
      <c r="P796">
        <v>25</v>
      </c>
      <c r="Q796" t="s">
        <v>45</v>
      </c>
    </row>
    <row r="797" spans="1:17">
      <c r="A797">
        <v>49</v>
      </c>
      <c r="B797" t="s">
        <v>138</v>
      </c>
      <c r="C797" t="s">
        <v>141</v>
      </c>
      <c r="D797" t="s">
        <v>29</v>
      </c>
      <c r="E797" s="6">
        <v>45354</v>
      </c>
      <c r="F797" t="s">
        <v>939</v>
      </c>
      <c r="G797" t="s">
        <v>1732</v>
      </c>
      <c r="H797" t="s">
        <v>40</v>
      </c>
      <c r="I797" s="4">
        <v>15742.39442401915</v>
      </c>
      <c r="J797">
        <v>391</v>
      </c>
      <c r="K797" t="s">
        <v>36</v>
      </c>
      <c r="L797" s="6">
        <v>45359</v>
      </c>
      <c r="M797" t="s">
        <v>53</v>
      </c>
      <c r="N797" t="s">
        <v>1747</v>
      </c>
      <c r="O797" t="s">
        <v>114</v>
      </c>
      <c r="P797">
        <v>5</v>
      </c>
      <c r="Q797" t="s">
        <v>46</v>
      </c>
    </row>
    <row r="798" spans="1:17">
      <c r="A798">
        <v>64</v>
      </c>
      <c r="B798" t="s">
        <v>137</v>
      </c>
      <c r="C798" t="s">
        <v>144</v>
      </c>
      <c r="D798" t="s">
        <v>29</v>
      </c>
      <c r="E798" s="6">
        <v>45359</v>
      </c>
      <c r="F798" t="s">
        <v>940</v>
      </c>
      <c r="G798" t="s">
        <v>1733</v>
      </c>
      <c r="H798" t="s">
        <v>39</v>
      </c>
      <c r="I798" s="4">
        <v>1994.511631596313</v>
      </c>
      <c r="J798">
        <v>145</v>
      </c>
      <c r="K798" t="s">
        <v>35</v>
      </c>
      <c r="L798" s="6">
        <v>45384</v>
      </c>
      <c r="M798" t="s">
        <v>52</v>
      </c>
      <c r="N798" t="s">
        <v>1748</v>
      </c>
      <c r="O798" t="s">
        <v>114</v>
      </c>
      <c r="P798">
        <v>25</v>
      </c>
      <c r="Q798" t="s">
        <v>47</v>
      </c>
    </row>
    <row r="799" spans="1:17">
      <c r="A799">
        <v>69</v>
      </c>
      <c r="B799" t="s">
        <v>138</v>
      </c>
      <c r="C799" t="s">
        <v>142</v>
      </c>
      <c r="D799" t="s">
        <v>27</v>
      </c>
      <c r="E799" s="6">
        <v>45376</v>
      </c>
      <c r="F799" t="s">
        <v>941</v>
      </c>
      <c r="G799" t="s">
        <v>1734</v>
      </c>
      <c r="H799" t="s">
        <v>40</v>
      </c>
      <c r="I799" s="4">
        <v>14010.13807251455</v>
      </c>
      <c r="J799">
        <v>305</v>
      </c>
      <c r="K799" t="s">
        <v>35</v>
      </c>
      <c r="L799" s="6">
        <v>45401</v>
      </c>
      <c r="M799" t="s">
        <v>52</v>
      </c>
      <c r="N799" t="s">
        <v>1747</v>
      </c>
      <c r="O799" t="s">
        <v>114</v>
      </c>
      <c r="P799">
        <v>25</v>
      </c>
      <c r="Q799" t="s">
        <v>48</v>
      </c>
    </row>
    <row r="800" spans="1:17">
      <c r="A800">
        <v>34</v>
      </c>
      <c r="B800" t="s">
        <v>138</v>
      </c>
      <c r="C800" t="s">
        <v>144</v>
      </c>
      <c r="D800" t="s">
        <v>27</v>
      </c>
      <c r="E800" s="6">
        <v>45377</v>
      </c>
      <c r="F800" t="s">
        <v>942</v>
      </c>
      <c r="G800" t="s">
        <v>1735</v>
      </c>
      <c r="H800" t="s">
        <v>42</v>
      </c>
      <c r="I800" s="4">
        <v>47722.60033667755</v>
      </c>
      <c r="J800">
        <v>415</v>
      </c>
      <c r="K800" t="s">
        <v>35</v>
      </c>
      <c r="L800" s="6">
        <v>45395</v>
      </c>
      <c r="M800" t="s">
        <v>52</v>
      </c>
      <c r="N800" t="s">
        <v>1748</v>
      </c>
      <c r="O800" t="s">
        <v>114</v>
      </c>
      <c r="P800">
        <v>18</v>
      </c>
      <c r="Q800" t="s">
        <v>45</v>
      </c>
    </row>
    <row r="801" spans="1:17">
      <c r="A801">
        <v>62</v>
      </c>
      <c r="B801" t="s">
        <v>137</v>
      </c>
      <c r="C801" t="s">
        <v>141</v>
      </c>
      <c r="D801" t="s">
        <v>27</v>
      </c>
      <c r="E801" s="6">
        <v>45354</v>
      </c>
      <c r="F801" t="s">
        <v>943</v>
      </c>
      <c r="G801" t="s">
        <v>1736</v>
      </c>
      <c r="H801" t="s">
        <v>38</v>
      </c>
      <c r="I801" s="4">
        <v>22276.04004099672</v>
      </c>
      <c r="J801">
        <v>102</v>
      </c>
      <c r="K801" t="s">
        <v>35</v>
      </c>
      <c r="L801" s="6">
        <v>45360</v>
      </c>
      <c r="M801" t="s">
        <v>51</v>
      </c>
      <c r="N801" t="s">
        <v>1746</v>
      </c>
      <c r="O801" t="s">
        <v>114</v>
      </c>
      <c r="P801">
        <v>6</v>
      </c>
      <c r="Q801" t="s">
        <v>47</v>
      </c>
    </row>
    <row r="802" spans="1:17">
      <c r="A802">
        <v>31</v>
      </c>
      <c r="B802" t="s">
        <v>138</v>
      </c>
      <c r="C802" t="s">
        <v>142</v>
      </c>
      <c r="D802" t="s">
        <v>28</v>
      </c>
      <c r="E802" s="6">
        <v>45370</v>
      </c>
      <c r="F802" t="s">
        <v>944</v>
      </c>
      <c r="G802" t="s">
        <v>1737</v>
      </c>
      <c r="H802" t="s">
        <v>39</v>
      </c>
      <c r="I802" s="4">
        <v>37611.78607871949</v>
      </c>
      <c r="J802">
        <v>331</v>
      </c>
      <c r="K802" t="s">
        <v>35</v>
      </c>
      <c r="L802" s="6">
        <v>45381</v>
      </c>
      <c r="M802" t="s">
        <v>51</v>
      </c>
      <c r="N802" t="s">
        <v>1748</v>
      </c>
      <c r="O802" t="s">
        <v>114</v>
      </c>
      <c r="P802">
        <v>11</v>
      </c>
      <c r="Q802" t="s">
        <v>45</v>
      </c>
    </row>
    <row r="803" spans="1:17">
      <c r="A803">
        <v>76</v>
      </c>
      <c r="B803" t="s">
        <v>138</v>
      </c>
      <c r="C803" t="s">
        <v>143</v>
      </c>
      <c r="D803" t="s">
        <v>31</v>
      </c>
      <c r="E803" s="6">
        <v>45362</v>
      </c>
      <c r="F803" t="s">
        <v>945</v>
      </c>
      <c r="G803" t="s">
        <v>1738</v>
      </c>
      <c r="H803" t="s">
        <v>40</v>
      </c>
      <c r="I803" s="4">
        <v>16916.81860233318</v>
      </c>
      <c r="J803">
        <v>454</v>
      </c>
      <c r="K803" t="s">
        <v>35</v>
      </c>
      <c r="L803" s="6">
        <v>45391</v>
      </c>
      <c r="M803" t="s">
        <v>52</v>
      </c>
      <c r="N803" t="s">
        <v>1746</v>
      </c>
      <c r="O803" t="s">
        <v>114</v>
      </c>
      <c r="P803">
        <v>29</v>
      </c>
      <c r="Q803" t="s">
        <v>48</v>
      </c>
    </row>
    <row r="804" spans="1:17">
      <c r="A804">
        <v>43</v>
      </c>
      <c r="B804" t="s">
        <v>137</v>
      </c>
      <c r="C804" t="s">
        <v>140</v>
      </c>
      <c r="D804" t="s">
        <v>30</v>
      </c>
      <c r="E804" s="6">
        <v>45368</v>
      </c>
      <c r="F804" t="s">
        <v>946</v>
      </c>
      <c r="G804" t="s">
        <v>1739</v>
      </c>
      <c r="H804" t="s">
        <v>38</v>
      </c>
      <c r="I804" s="4">
        <v>17214.41177112858</v>
      </c>
      <c r="J804">
        <v>369</v>
      </c>
      <c r="K804" t="s">
        <v>36</v>
      </c>
      <c r="L804" s="6">
        <v>45379</v>
      </c>
      <c r="M804" t="s">
        <v>54</v>
      </c>
      <c r="N804" t="s">
        <v>1747</v>
      </c>
      <c r="O804" t="s">
        <v>114</v>
      </c>
      <c r="P804">
        <v>11</v>
      </c>
      <c r="Q804" t="s">
        <v>46</v>
      </c>
    </row>
    <row r="805" spans="1:17">
      <c r="A805">
        <v>29</v>
      </c>
      <c r="B805" t="s">
        <v>138</v>
      </c>
      <c r="C805" t="s">
        <v>143</v>
      </c>
      <c r="D805" t="s">
        <v>29</v>
      </c>
      <c r="E805" s="6">
        <v>45379</v>
      </c>
      <c r="F805" t="s">
        <v>947</v>
      </c>
      <c r="G805" t="s">
        <v>1740</v>
      </c>
      <c r="H805" t="s">
        <v>38</v>
      </c>
      <c r="I805" s="4">
        <v>22531.10442802736</v>
      </c>
      <c r="J805">
        <v>112</v>
      </c>
      <c r="K805" t="s">
        <v>36</v>
      </c>
      <c r="L805" s="6">
        <v>45409</v>
      </c>
      <c r="M805" t="s">
        <v>54</v>
      </c>
      <c r="N805" t="s">
        <v>1747</v>
      </c>
      <c r="O805" t="s">
        <v>114</v>
      </c>
      <c r="P805">
        <v>30</v>
      </c>
      <c r="Q805" t="s">
        <v>45</v>
      </c>
    </row>
    <row r="806" spans="1:17">
      <c r="A806">
        <v>32</v>
      </c>
      <c r="B806" t="s">
        <v>138</v>
      </c>
      <c r="C806" t="s">
        <v>140</v>
      </c>
      <c r="D806" t="s">
        <v>30</v>
      </c>
      <c r="E806" s="6">
        <v>45363</v>
      </c>
      <c r="F806" t="s">
        <v>948</v>
      </c>
      <c r="G806" t="s">
        <v>1741</v>
      </c>
      <c r="H806" t="s">
        <v>38</v>
      </c>
      <c r="I806" s="4">
        <v>2679.195256150322</v>
      </c>
      <c r="J806">
        <v>436</v>
      </c>
      <c r="K806" t="s">
        <v>34</v>
      </c>
      <c r="L806" s="6">
        <v>45378</v>
      </c>
      <c r="M806" t="s">
        <v>53</v>
      </c>
      <c r="N806" t="s">
        <v>1747</v>
      </c>
      <c r="O806" t="s">
        <v>114</v>
      </c>
      <c r="P806">
        <v>15</v>
      </c>
      <c r="Q806" t="s">
        <v>45</v>
      </c>
    </row>
    <row r="807" spans="1:17">
      <c r="A807">
        <v>72</v>
      </c>
      <c r="B807" t="s">
        <v>137</v>
      </c>
      <c r="C807" t="s">
        <v>145</v>
      </c>
      <c r="D807" t="s">
        <v>31</v>
      </c>
      <c r="E807" s="6">
        <v>45359</v>
      </c>
      <c r="F807" t="s">
        <v>949</v>
      </c>
      <c r="G807" t="s">
        <v>1742</v>
      </c>
      <c r="H807" t="s">
        <v>42</v>
      </c>
      <c r="I807" s="4">
        <v>22456.56775022476</v>
      </c>
      <c r="J807">
        <v>116</v>
      </c>
      <c r="K807" t="s">
        <v>35</v>
      </c>
      <c r="L807" s="6">
        <v>45389</v>
      </c>
      <c r="M807" t="s">
        <v>54</v>
      </c>
      <c r="N807" t="s">
        <v>1746</v>
      </c>
      <c r="O807" t="s">
        <v>114</v>
      </c>
      <c r="P807">
        <v>30</v>
      </c>
      <c r="Q807" t="s">
        <v>48</v>
      </c>
    </row>
    <row r="808" spans="1:17">
      <c r="A808">
        <v>48</v>
      </c>
      <c r="B808" t="s">
        <v>137</v>
      </c>
      <c r="C808" t="s">
        <v>140</v>
      </c>
      <c r="D808" t="s">
        <v>28</v>
      </c>
      <c r="E808" s="6">
        <v>45381</v>
      </c>
      <c r="F808" t="s">
        <v>950</v>
      </c>
      <c r="G808" t="s">
        <v>1743</v>
      </c>
      <c r="H808" t="s">
        <v>38</v>
      </c>
      <c r="I808" s="4">
        <v>30564.83703402503</v>
      </c>
      <c r="J808">
        <v>401</v>
      </c>
      <c r="K808" t="s">
        <v>34</v>
      </c>
      <c r="L808" s="6">
        <v>45401</v>
      </c>
      <c r="M808" t="s">
        <v>53</v>
      </c>
      <c r="N808" t="s">
        <v>1746</v>
      </c>
      <c r="O808" t="s">
        <v>114</v>
      </c>
      <c r="P808">
        <v>20</v>
      </c>
      <c r="Q808" t="s">
        <v>46</v>
      </c>
    </row>
    <row r="809" spans="1:17">
      <c r="A809">
        <v>61</v>
      </c>
      <c r="B809" t="s">
        <v>137</v>
      </c>
      <c r="C809" t="s">
        <v>142</v>
      </c>
      <c r="D809" t="s">
        <v>29</v>
      </c>
      <c r="E809" s="6">
        <v>45371</v>
      </c>
      <c r="F809" t="s">
        <v>951</v>
      </c>
      <c r="G809" t="s">
        <v>1744</v>
      </c>
      <c r="H809" t="s">
        <v>39</v>
      </c>
      <c r="I809" s="4">
        <v>47202.5667041896</v>
      </c>
      <c r="J809">
        <v>476</v>
      </c>
      <c r="K809" t="s">
        <v>35</v>
      </c>
      <c r="L809" s="6">
        <v>45388</v>
      </c>
      <c r="M809" t="s">
        <v>51</v>
      </c>
      <c r="N809" t="s">
        <v>1746</v>
      </c>
      <c r="O809" t="s">
        <v>114</v>
      </c>
      <c r="P809">
        <v>17</v>
      </c>
      <c r="Q809" t="s">
        <v>47</v>
      </c>
    </row>
    <row r="810" spans="1:17">
      <c r="A810">
        <v>85</v>
      </c>
      <c r="B810" t="s">
        <v>137</v>
      </c>
      <c r="C810" t="s">
        <v>146</v>
      </c>
      <c r="D810" t="s">
        <v>31</v>
      </c>
      <c r="E810" s="6">
        <v>45368</v>
      </c>
      <c r="F810" t="s">
        <v>952</v>
      </c>
      <c r="G810" t="s">
        <v>1745</v>
      </c>
      <c r="H810" t="s">
        <v>40</v>
      </c>
      <c r="I810" s="4">
        <v>28586.26582411981</v>
      </c>
      <c r="J810">
        <v>431</v>
      </c>
      <c r="K810" t="s">
        <v>35</v>
      </c>
      <c r="L810" s="6">
        <v>45387</v>
      </c>
      <c r="M810" t="s">
        <v>51</v>
      </c>
      <c r="N810" t="s">
        <v>1746</v>
      </c>
      <c r="O810" t="s">
        <v>114</v>
      </c>
      <c r="P810">
        <v>19</v>
      </c>
      <c r="Q810" t="s">
        <v>48</v>
      </c>
    </row>
    <row r="811" spans="1:17">
      <c r="A811">
        <v>75</v>
      </c>
      <c r="B811" t="s">
        <v>137</v>
      </c>
      <c r="C811" t="s">
        <v>144</v>
      </c>
      <c r="D811" t="s">
        <v>27</v>
      </c>
      <c r="E811" s="6">
        <v>45376</v>
      </c>
      <c r="F811" t="s">
        <v>219</v>
      </c>
      <c r="G811" t="s">
        <v>1025</v>
      </c>
      <c r="H811" t="s">
        <v>40</v>
      </c>
      <c r="I811" s="4">
        <v>21888.47208151748</v>
      </c>
      <c r="J811">
        <v>455</v>
      </c>
      <c r="K811" t="s">
        <v>35</v>
      </c>
      <c r="L811" s="6">
        <v>45401</v>
      </c>
      <c r="M811" t="s">
        <v>50</v>
      </c>
      <c r="N811" t="s">
        <v>1747</v>
      </c>
      <c r="O811" t="s">
        <v>114</v>
      </c>
      <c r="P811">
        <v>25</v>
      </c>
      <c r="Q811" t="s">
        <v>48</v>
      </c>
    </row>
    <row r="812" spans="1:17">
      <c r="A812">
        <v>53</v>
      </c>
      <c r="B812" t="s">
        <v>137</v>
      </c>
      <c r="C812" t="s">
        <v>143</v>
      </c>
      <c r="D812" t="s">
        <v>30</v>
      </c>
      <c r="E812" s="6">
        <v>45375</v>
      </c>
      <c r="F812" t="s">
        <v>754</v>
      </c>
      <c r="G812" t="s">
        <v>1548</v>
      </c>
      <c r="H812" t="s">
        <v>42</v>
      </c>
      <c r="I812" s="4">
        <v>41955.28426686782</v>
      </c>
      <c r="J812">
        <v>158</v>
      </c>
      <c r="K812" t="s">
        <v>34</v>
      </c>
      <c r="L812" s="6">
        <v>45383</v>
      </c>
      <c r="M812" t="s">
        <v>51</v>
      </c>
      <c r="N812" t="s">
        <v>1746</v>
      </c>
      <c r="O812" t="s">
        <v>114</v>
      </c>
      <c r="P812">
        <v>8</v>
      </c>
      <c r="Q812" t="s">
        <v>47</v>
      </c>
    </row>
    <row r="813" spans="1:17">
      <c r="A813">
        <v>57</v>
      </c>
      <c r="B813" t="s">
        <v>138</v>
      </c>
      <c r="C813" t="s">
        <v>139</v>
      </c>
      <c r="D813" t="s">
        <v>27</v>
      </c>
      <c r="E813" s="6">
        <v>45365</v>
      </c>
      <c r="F813" t="s">
        <v>476</v>
      </c>
      <c r="G813" t="s">
        <v>1277</v>
      </c>
      <c r="H813" t="s">
        <v>40</v>
      </c>
      <c r="I813" s="4">
        <v>23049.47361638419</v>
      </c>
      <c r="J813">
        <v>162</v>
      </c>
      <c r="K813" t="s">
        <v>34</v>
      </c>
      <c r="L813" s="6">
        <v>45391</v>
      </c>
      <c r="M813" t="s">
        <v>51</v>
      </c>
      <c r="N813" t="s">
        <v>1746</v>
      </c>
      <c r="O813" t="s">
        <v>114</v>
      </c>
      <c r="P813">
        <v>26</v>
      </c>
      <c r="Q813" t="s">
        <v>47</v>
      </c>
    </row>
    <row r="814" spans="1:17">
      <c r="A814">
        <v>48</v>
      </c>
      <c r="B814" t="s">
        <v>137</v>
      </c>
      <c r="C814" t="s">
        <v>143</v>
      </c>
      <c r="D814" t="s">
        <v>31</v>
      </c>
      <c r="E814" s="6">
        <v>45354</v>
      </c>
      <c r="F814" t="s">
        <v>156</v>
      </c>
      <c r="G814" t="s">
        <v>962</v>
      </c>
      <c r="H814" t="s">
        <v>40</v>
      </c>
      <c r="I814" s="4">
        <v>23235.85441003446</v>
      </c>
      <c r="J814">
        <v>442</v>
      </c>
      <c r="K814" t="s">
        <v>36</v>
      </c>
      <c r="L814" s="6">
        <v>45366</v>
      </c>
      <c r="M814" t="s">
        <v>50</v>
      </c>
      <c r="N814" t="s">
        <v>1746</v>
      </c>
      <c r="O814" t="s">
        <v>114</v>
      </c>
      <c r="P814">
        <v>12</v>
      </c>
      <c r="Q814" t="s">
        <v>46</v>
      </c>
    </row>
    <row r="815" spans="1:17">
      <c r="A815">
        <v>43</v>
      </c>
      <c r="B815" t="s">
        <v>138</v>
      </c>
      <c r="C815" t="s">
        <v>142</v>
      </c>
      <c r="D815" t="s">
        <v>29</v>
      </c>
      <c r="E815" s="6">
        <v>45358</v>
      </c>
      <c r="F815" t="s">
        <v>298</v>
      </c>
      <c r="G815" t="s">
        <v>1101</v>
      </c>
      <c r="H815" t="s">
        <v>38</v>
      </c>
      <c r="I815" s="4">
        <v>16406.62987274527</v>
      </c>
      <c r="J815">
        <v>450</v>
      </c>
      <c r="K815" t="s">
        <v>36</v>
      </c>
      <c r="L815" s="6">
        <v>45383</v>
      </c>
      <c r="M815" t="s">
        <v>51</v>
      </c>
      <c r="N815" t="s">
        <v>1747</v>
      </c>
      <c r="O815" t="s">
        <v>114</v>
      </c>
      <c r="P815">
        <v>25</v>
      </c>
      <c r="Q815" t="s">
        <v>46</v>
      </c>
    </row>
    <row r="816" spans="1:17">
      <c r="A816">
        <v>64</v>
      </c>
      <c r="B816" t="s">
        <v>137</v>
      </c>
      <c r="C816" t="s">
        <v>141</v>
      </c>
      <c r="D816" t="s">
        <v>28</v>
      </c>
      <c r="E816" s="6">
        <v>45358</v>
      </c>
      <c r="F816" t="s">
        <v>686</v>
      </c>
      <c r="G816" t="s">
        <v>1090</v>
      </c>
      <c r="H816" t="s">
        <v>39</v>
      </c>
      <c r="I816" s="4">
        <v>44900.6728293632</v>
      </c>
      <c r="J816">
        <v>121</v>
      </c>
      <c r="K816" t="s">
        <v>35</v>
      </c>
      <c r="L816" s="6">
        <v>45388</v>
      </c>
      <c r="M816" t="s">
        <v>54</v>
      </c>
      <c r="N816" t="s">
        <v>1748</v>
      </c>
      <c r="O816" t="s">
        <v>114</v>
      </c>
      <c r="P816">
        <v>30</v>
      </c>
      <c r="Q816" t="s">
        <v>47</v>
      </c>
    </row>
    <row r="817" spans="1:17">
      <c r="A817">
        <v>20</v>
      </c>
      <c r="B817" t="s">
        <v>137</v>
      </c>
      <c r="C817" t="s">
        <v>146</v>
      </c>
      <c r="D817" t="s">
        <v>31</v>
      </c>
      <c r="E817" s="6">
        <v>45375</v>
      </c>
      <c r="F817" t="s">
        <v>527</v>
      </c>
      <c r="G817" t="s">
        <v>1326</v>
      </c>
      <c r="H817" t="s">
        <v>41</v>
      </c>
      <c r="I817" s="4">
        <v>2416.394589748107</v>
      </c>
      <c r="J817">
        <v>368</v>
      </c>
      <c r="K817" t="s">
        <v>34</v>
      </c>
      <c r="L817" s="6">
        <v>45387</v>
      </c>
      <c r="M817" t="s">
        <v>51</v>
      </c>
      <c r="N817" t="s">
        <v>1746</v>
      </c>
      <c r="O817" t="s">
        <v>114</v>
      </c>
      <c r="P817">
        <v>12</v>
      </c>
      <c r="Q817" t="s">
        <v>45</v>
      </c>
    </row>
    <row r="818" spans="1:17">
      <c r="A818">
        <v>67</v>
      </c>
      <c r="B818" t="s">
        <v>137</v>
      </c>
      <c r="C818" t="s">
        <v>143</v>
      </c>
      <c r="D818" t="s">
        <v>29</v>
      </c>
      <c r="E818" s="6">
        <v>45365</v>
      </c>
      <c r="F818" t="s">
        <v>461</v>
      </c>
      <c r="G818" t="s">
        <v>1262</v>
      </c>
      <c r="H818" t="s">
        <v>38</v>
      </c>
      <c r="I818" s="4">
        <v>8143.431051233286</v>
      </c>
      <c r="J818">
        <v>154</v>
      </c>
      <c r="K818" t="s">
        <v>36</v>
      </c>
      <c r="L818" s="6">
        <v>45377</v>
      </c>
      <c r="M818" t="s">
        <v>50</v>
      </c>
      <c r="N818" t="s">
        <v>1746</v>
      </c>
      <c r="O818" t="s">
        <v>114</v>
      </c>
      <c r="P818">
        <v>12</v>
      </c>
      <c r="Q818" t="s">
        <v>48</v>
      </c>
    </row>
    <row r="819" spans="1:17">
      <c r="A819">
        <v>24</v>
      </c>
      <c r="B819" t="s">
        <v>138</v>
      </c>
      <c r="C819" t="s">
        <v>144</v>
      </c>
      <c r="D819" t="s">
        <v>28</v>
      </c>
      <c r="E819" s="6">
        <v>45365</v>
      </c>
      <c r="F819" t="s">
        <v>208</v>
      </c>
      <c r="G819" t="s">
        <v>1014</v>
      </c>
      <c r="H819" t="s">
        <v>41</v>
      </c>
      <c r="I819" s="4">
        <v>8690.270052290243</v>
      </c>
      <c r="J819">
        <v>232</v>
      </c>
      <c r="K819" t="s">
        <v>34</v>
      </c>
      <c r="L819" s="6">
        <v>45393</v>
      </c>
      <c r="M819" t="s">
        <v>51</v>
      </c>
      <c r="N819" t="s">
        <v>1746</v>
      </c>
      <c r="O819" t="s">
        <v>114</v>
      </c>
      <c r="P819">
        <v>28</v>
      </c>
      <c r="Q819" t="s">
        <v>45</v>
      </c>
    </row>
    <row r="820" spans="1:17">
      <c r="A820">
        <v>60</v>
      </c>
      <c r="B820" t="s">
        <v>137</v>
      </c>
      <c r="C820" t="s">
        <v>143</v>
      </c>
      <c r="D820" t="s">
        <v>30</v>
      </c>
      <c r="E820" s="6">
        <v>45368</v>
      </c>
      <c r="F820" t="s">
        <v>353</v>
      </c>
      <c r="G820" t="s">
        <v>1156</v>
      </c>
      <c r="H820" t="s">
        <v>38</v>
      </c>
      <c r="I820" s="4">
        <v>45228.07735695945</v>
      </c>
      <c r="J820">
        <v>414</v>
      </c>
      <c r="K820" t="s">
        <v>34</v>
      </c>
      <c r="L820" s="6">
        <v>45372</v>
      </c>
      <c r="M820" t="s">
        <v>52</v>
      </c>
      <c r="N820" t="s">
        <v>1746</v>
      </c>
      <c r="O820" t="s">
        <v>114</v>
      </c>
      <c r="P820">
        <v>4</v>
      </c>
      <c r="Q820" t="s">
        <v>47</v>
      </c>
    </row>
    <row r="821" spans="1:17">
      <c r="A821">
        <v>44</v>
      </c>
      <c r="B821" t="s">
        <v>138</v>
      </c>
      <c r="C821" t="s">
        <v>140</v>
      </c>
      <c r="D821" t="s">
        <v>29</v>
      </c>
      <c r="E821" s="6">
        <v>45360</v>
      </c>
      <c r="F821" t="s">
        <v>873</v>
      </c>
      <c r="G821" t="s">
        <v>1666</v>
      </c>
      <c r="H821" t="s">
        <v>42</v>
      </c>
      <c r="I821" s="4">
        <v>12697.31207312713</v>
      </c>
      <c r="J821">
        <v>319</v>
      </c>
      <c r="K821" t="s">
        <v>35</v>
      </c>
      <c r="L821" s="6">
        <v>45369</v>
      </c>
      <c r="M821" t="s">
        <v>50</v>
      </c>
      <c r="N821" t="s">
        <v>1747</v>
      </c>
      <c r="O821" t="s">
        <v>114</v>
      </c>
      <c r="P821">
        <v>9</v>
      </c>
      <c r="Q821" t="s">
        <v>46</v>
      </c>
    </row>
    <row r="822" spans="1:17">
      <c r="A822">
        <v>26</v>
      </c>
      <c r="B822" t="s">
        <v>137</v>
      </c>
      <c r="C822" t="s">
        <v>139</v>
      </c>
      <c r="D822" t="s">
        <v>29</v>
      </c>
      <c r="E822" s="6">
        <v>45358</v>
      </c>
      <c r="F822" t="s">
        <v>791</v>
      </c>
      <c r="G822" t="s">
        <v>1584</v>
      </c>
      <c r="H822" t="s">
        <v>42</v>
      </c>
      <c r="I822" s="4">
        <v>24864.17129861885</v>
      </c>
      <c r="J822">
        <v>302</v>
      </c>
      <c r="K822" t="s">
        <v>36</v>
      </c>
      <c r="L822" s="6">
        <v>45388</v>
      </c>
      <c r="M822" t="s">
        <v>51</v>
      </c>
      <c r="N822" t="s">
        <v>1747</v>
      </c>
      <c r="O822" t="s">
        <v>114</v>
      </c>
      <c r="P822">
        <v>30</v>
      </c>
      <c r="Q822" t="s">
        <v>45</v>
      </c>
    </row>
    <row r="823" spans="1:17">
      <c r="A823">
        <v>87</v>
      </c>
      <c r="B823" t="s">
        <v>138</v>
      </c>
      <c r="C823" t="s">
        <v>144</v>
      </c>
      <c r="D823" t="s">
        <v>29</v>
      </c>
      <c r="E823" s="6">
        <v>45359</v>
      </c>
      <c r="F823" t="s">
        <v>758</v>
      </c>
      <c r="G823" t="s">
        <v>1552</v>
      </c>
      <c r="H823" t="s">
        <v>39</v>
      </c>
      <c r="I823" s="4">
        <v>7985.390171472112</v>
      </c>
      <c r="J823">
        <v>215</v>
      </c>
      <c r="K823" t="s">
        <v>34</v>
      </c>
      <c r="L823" s="6">
        <v>45371</v>
      </c>
      <c r="M823" t="s">
        <v>52</v>
      </c>
      <c r="N823" t="s">
        <v>1747</v>
      </c>
      <c r="O823" t="s">
        <v>114</v>
      </c>
      <c r="P823">
        <v>12</v>
      </c>
      <c r="Q823" t="s">
        <v>48</v>
      </c>
    </row>
    <row r="824" spans="1:17">
      <c r="A824">
        <v>35</v>
      </c>
      <c r="B824" t="s">
        <v>138</v>
      </c>
      <c r="C824" t="s">
        <v>146</v>
      </c>
      <c r="D824" t="s">
        <v>30</v>
      </c>
      <c r="E824" s="6">
        <v>45373</v>
      </c>
      <c r="F824" t="s">
        <v>546</v>
      </c>
      <c r="G824" t="s">
        <v>1345</v>
      </c>
      <c r="H824" t="s">
        <v>42</v>
      </c>
      <c r="I824" s="4">
        <v>39527.70582556851</v>
      </c>
      <c r="J824">
        <v>470</v>
      </c>
      <c r="K824" t="s">
        <v>35</v>
      </c>
      <c r="L824" s="6">
        <v>45391</v>
      </c>
      <c r="M824" t="s">
        <v>52</v>
      </c>
      <c r="N824" t="s">
        <v>1746</v>
      </c>
      <c r="O824" t="s">
        <v>114</v>
      </c>
      <c r="P824">
        <v>18</v>
      </c>
      <c r="Q824" t="s">
        <v>45</v>
      </c>
    </row>
    <row r="825" spans="1:17">
      <c r="A825">
        <v>57</v>
      </c>
      <c r="B825" t="s">
        <v>137</v>
      </c>
      <c r="C825" t="s">
        <v>143</v>
      </c>
      <c r="D825" t="s">
        <v>31</v>
      </c>
      <c r="E825" s="6">
        <v>45372</v>
      </c>
      <c r="F825" t="s">
        <v>294</v>
      </c>
      <c r="G825" t="s">
        <v>1097</v>
      </c>
      <c r="H825" t="s">
        <v>39</v>
      </c>
      <c r="I825" s="4">
        <v>9421.445637014211</v>
      </c>
      <c r="J825">
        <v>490</v>
      </c>
      <c r="K825" t="s">
        <v>35</v>
      </c>
      <c r="L825" s="6">
        <v>45376</v>
      </c>
      <c r="M825" t="s">
        <v>51</v>
      </c>
      <c r="N825" t="s">
        <v>1748</v>
      </c>
      <c r="O825" t="s">
        <v>114</v>
      </c>
      <c r="P825">
        <v>4</v>
      </c>
      <c r="Q825" t="s">
        <v>47</v>
      </c>
    </row>
    <row r="826" spans="1:17">
      <c r="A826">
        <v>84</v>
      </c>
      <c r="B826" t="s">
        <v>138</v>
      </c>
      <c r="C826" t="s">
        <v>144</v>
      </c>
      <c r="D826" t="s">
        <v>27</v>
      </c>
      <c r="E826" s="6">
        <v>45354</v>
      </c>
      <c r="F826" t="s">
        <v>683</v>
      </c>
      <c r="G826" t="s">
        <v>1481</v>
      </c>
      <c r="H826" t="s">
        <v>40</v>
      </c>
      <c r="I826" s="4">
        <v>5350.727761564771</v>
      </c>
      <c r="J826">
        <v>337</v>
      </c>
      <c r="K826" t="s">
        <v>35</v>
      </c>
      <c r="L826" s="6">
        <v>45361</v>
      </c>
      <c r="M826" t="s">
        <v>51</v>
      </c>
      <c r="N826" t="s">
        <v>1747</v>
      </c>
      <c r="O826" t="s">
        <v>114</v>
      </c>
      <c r="P826">
        <v>7</v>
      </c>
      <c r="Q826" t="s">
        <v>48</v>
      </c>
    </row>
    <row r="827" spans="1:17">
      <c r="A827">
        <v>53</v>
      </c>
      <c r="B827" t="s">
        <v>137</v>
      </c>
      <c r="C827" t="s">
        <v>140</v>
      </c>
      <c r="D827" t="s">
        <v>27</v>
      </c>
      <c r="E827" s="6">
        <v>45365</v>
      </c>
      <c r="F827" t="s">
        <v>269</v>
      </c>
      <c r="G827" t="s">
        <v>1074</v>
      </c>
      <c r="H827" t="s">
        <v>38</v>
      </c>
      <c r="I827" s="4">
        <v>43939.06191177292</v>
      </c>
      <c r="J827">
        <v>108</v>
      </c>
      <c r="K827" t="s">
        <v>34</v>
      </c>
      <c r="L827" s="6">
        <v>45383</v>
      </c>
      <c r="M827" t="s">
        <v>50</v>
      </c>
      <c r="N827" t="s">
        <v>1746</v>
      </c>
      <c r="O827" t="s">
        <v>114</v>
      </c>
      <c r="P827">
        <v>18</v>
      </c>
      <c r="Q827" t="s">
        <v>47</v>
      </c>
    </row>
    <row r="828" spans="1:17">
      <c r="A828">
        <v>28</v>
      </c>
      <c r="B828" t="s">
        <v>137</v>
      </c>
      <c r="C828" t="s">
        <v>146</v>
      </c>
      <c r="D828" t="s">
        <v>27</v>
      </c>
      <c r="E828" s="6">
        <v>45365</v>
      </c>
      <c r="F828" t="s">
        <v>334</v>
      </c>
      <c r="G828" t="s">
        <v>1137</v>
      </c>
      <c r="H828" t="s">
        <v>39</v>
      </c>
      <c r="I828" s="4">
        <v>40787.18049980058</v>
      </c>
      <c r="J828">
        <v>440</v>
      </c>
      <c r="K828" t="s">
        <v>36</v>
      </c>
      <c r="L828" s="6">
        <v>45379</v>
      </c>
      <c r="M828" t="s">
        <v>53</v>
      </c>
      <c r="N828" t="s">
        <v>1746</v>
      </c>
      <c r="O828" t="s">
        <v>114</v>
      </c>
      <c r="P828">
        <v>14</v>
      </c>
      <c r="Q828" t="s">
        <v>45</v>
      </c>
    </row>
    <row r="829" spans="1:17">
      <c r="A829">
        <v>46</v>
      </c>
      <c r="B829" t="s">
        <v>137</v>
      </c>
      <c r="C829" t="s">
        <v>145</v>
      </c>
      <c r="D829" t="s">
        <v>27</v>
      </c>
      <c r="E829" s="6">
        <v>45353</v>
      </c>
      <c r="F829" t="s">
        <v>209</v>
      </c>
      <c r="G829" t="s">
        <v>1015</v>
      </c>
      <c r="H829" t="s">
        <v>41</v>
      </c>
      <c r="I829" s="4">
        <v>9434.760831098392</v>
      </c>
      <c r="J829">
        <v>372</v>
      </c>
      <c r="K829" t="s">
        <v>36</v>
      </c>
      <c r="L829" s="6">
        <v>45370</v>
      </c>
      <c r="M829" t="s">
        <v>50</v>
      </c>
      <c r="N829" t="s">
        <v>1746</v>
      </c>
      <c r="O829" t="s">
        <v>114</v>
      </c>
      <c r="P829">
        <v>17</v>
      </c>
      <c r="Q829" t="s">
        <v>46</v>
      </c>
    </row>
    <row r="830" spans="1:17">
      <c r="A830">
        <v>69</v>
      </c>
      <c r="B830" t="s">
        <v>137</v>
      </c>
      <c r="C830" t="s">
        <v>141</v>
      </c>
      <c r="D830" t="s">
        <v>28</v>
      </c>
      <c r="E830" s="6">
        <v>45363</v>
      </c>
      <c r="F830" t="s">
        <v>804</v>
      </c>
      <c r="G830" t="s">
        <v>1597</v>
      </c>
      <c r="H830" t="s">
        <v>41</v>
      </c>
      <c r="I830" s="4">
        <v>23331.70930350421</v>
      </c>
      <c r="J830">
        <v>454</v>
      </c>
      <c r="K830" t="s">
        <v>35</v>
      </c>
      <c r="L830" s="6">
        <v>45393</v>
      </c>
      <c r="M830" t="s">
        <v>54</v>
      </c>
      <c r="N830" t="s">
        <v>1746</v>
      </c>
      <c r="O830" t="s">
        <v>114</v>
      </c>
      <c r="P830">
        <v>30</v>
      </c>
      <c r="Q830" t="s">
        <v>48</v>
      </c>
    </row>
    <row r="831" spans="1:17">
      <c r="A831">
        <v>27</v>
      </c>
      <c r="B831" t="s">
        <v>137</v>
      </c>
      <c r="C831" t="s">
        <v>146</v>
      </c>
      <c r="D831" t="s">
        <v>28</v>
      </c>
      <c r="E831" s="6">
        <v>45382</v>
      </c>
      <c r="F831" t="s">
        <v>332</v>
      </c>
      <c r="G831" t="s">
        <v>1135</v>
      </c>
      <c r="H831" t="s">
        <v>41</v>
      </c>
      <c r="I831" s="4">
        <v>28067.80251518357</v>
      </c>
      <c r="J831">
        <v>370</v>
      </c>
      <c r="K831" t="s">
        <v>36</v>
      </c>
      <c r="L831" s="6">
        <v>45405</v>
      </c>
      <c r="M831" t="s">
        <v>50</v>
      </c>
      <c r="N831" t="s">
        <v>1748</v>
      </c>
      <c r="O831" t="s">
        <v>114</v>
      </c>
      <c r="P831">
        <v>23</v>
      </c>
      <c r="Q831" t="s">
        <v>45</v>
      </c>
    </row>
    <row r="832" spans="1:17">
      <c r="A832">
        <v>27</v>
      </c>
      <c r="B832" t="s">
        <v>138</v>
      </c>
      <c r="C832" t="s">
        <v>146</v>
      </c>
      <c r="D832" t="s">
        <v>28</v>
      </c>
      <c r="E832" s="6">
        <v>45380</v>
      </c>
      <c r="F832" t="s">
        <v>819</v>
      </c>
      <c r="G832" t="s">
        <v>1612</v>
      </c>
      <c r="H832" t="s">
        <v>41</v>
      </c>
      <c r="I832" s="4">
        <v>17192.09782857012</v>
      </c>
      <c r="J832">
        <v>260</v>
      </c>
      <c r="K832" t="s">
        <v>36</v>
      </c>
      <c r="L832" s="6">
        <v>45409</v>
      </c>
      <c r="M832" t="s">
        <v>54</v>
      </c>
      <c r="N832" t="s">
        <v>1747</v>
      </c>
      <c r="O832" t="s">
        <v>114</v>
      </c>
      <c r="P832">
        <v>29</v>
      </c>
      <c r="Q832" t="s">
        <v>45</v>
      </c>
    </row>
    <row r="833" spans="1:17">
      <c r="A833">
        <v>59</v>
      </c>
      <c r="B833" t="s">
        <v>138</v>
      </c>
      <c r="C833" t="s">
        <v>143</v>
      </c>
      <c r="D833" t="s">
        <v>31</v>
      </c>
      <c r="E833" s="6">
        <v>45367</v>
      </c>
      <c r="F833" t="s">
        <v>247</v>
      </c>
      <c r="G833" t="s">
        <v>1053</v>
      </c>
      <c r="H833" t="s">
        <v>39</v>
      </c>
      <c r="I833" s="4">
        <v>33734.14923461052</v>
      </c>
      <c r="J833">
        <v>265</v>
      </c>
      <c r="K833" t="s">
        <v>35</v>
      </c>
      <c r="L833" s="6">
        <v>45389</v>
      </c>
      <c r="M833" t="s">
        <v>50</v>
      </c>
      <c r="N833" t="s">
        <v>1746</v>
      </c>
      <c r="O833" t="s">
        <v>114</v>
      </c>
      <c r="P833">
        <v>22</v>
      </c>
      <c r="Q833" t="s">
        <v>47</v>
      </c>
    </row>
    <row r="834" spans="1:17">
      <c r="A834">
        <v>80</v>
      </c>
      <c r="B834" t="s">
        <v>138</v>
      </c>
      <c r="C834" t="s">
        <v>144</v>
      </c>
      <c r="D834" t="s">
        <v>30</v>
      </c>
      <c r="E834" s="6">
        <v>45379</v>
      </c>
      <c r="F834" t="s">
        <v>798</v>
      </c>
      <c r="G834" t="s">
        <v>1591</v>
      </c>
      <c r="H834" t="s">
        <v>42</v>
      </c>
      <c r="I834" s="4">
        <v>2595.742795565985</v>
      </c>
      <c r="J834">
        <v>418</v>
      </c>
      <c r="K834" t="s">
        <v>34</v>
      </c>
      <c r="L834" s="6">
        <v>45397</v>
      </c>
      <c r="M834" t="s">
        <v>52</v>
      </c>
      <c r="N834" t="s">
        <v>1747</v>
      </c>
      <c r="O834" t="s">
        <v>114</v>
      </c>
      <c r="P834">
        <v>18</v>
      </c>
      <c r="Q834" t="s">
        <v>48</v>
      </c>
    </row>
    <row r="835" spans="1:17">
      <c r="A835">
        <v>85</v>
      </c>
      <c r="B835" t="s">
        <v>138</v>
      </c>
      <c r="C835" t="s">
        <v>142</v>
      </c>
      <c r="D835" t="s">
        <v>29</v>
      </c>
      <c r="E835" s="6">
        <v>45369</v>
      </c>
      <c r="F835" t="s">
        <v>365</v>
      </c>
      <c r="G835" t="s">
        <v>1168</v>
      </c>
      <c r="H835" t="s">
        <v>40</v>
      </c>
      <c r="I835" s="4">
        <v>35848.38871695645</v>
      </c>
      <c r="J835">
        <v>285</v>
      </c>
      <c r="K835" t="s">
        <v>34</v>
      </c>
      <c r="L835" s="6">
        <v>45396</v>
      </c>
      <c r="M835" t="s">
        <v>51</v>
      </c>
      <c r="N835" t="s">
        <v>1746</v>
      </c>
      <c r="O835" t="s">
        <v>114</v>
      </c>
      <c r="P835">
        <v>27</v>
      </c>
      <c r="Q835" t="s">
        <v>48</v>
      </c>
    </row>
    <row r="836" spans="1:17">
      <c r="A836">
        <v>73</v>
      </c>
      <c r="B836" t="s">
        <v>137</v>
      </c>
      <c r="C836" t="s">
        <v>145</v>
      </c>
      <c r="D836" t="s">
        <v>27</v>
      </c>
      <c r="E836" s="6">
        <v>45375</v>
      </c>
      <c r="F836" t="s">
        <v>842</v>
      </c>
      <c r="G836" t="s">
        <v>1635</v>
      </c>
      <c r="H836" t="s">
        <v>41</v>
      </c>
      <c r="I836" s="4">
        <v>21751.49377259088</v>
      </c>
      <c r="J836">
        <v>231</v>
      </c>
      <c r="K836" t="s">
        <v>34</v>
      </c>
      <c r="L836" s="6">
        <v>45400</v>
      </c>
      <c r="M836" t="s">
        <v>52</v>
      </c>
      <c r="N836" t="s">
        <v>1747</v>
      </c>
      <c r="O836" t="s">
        <v>114</v>
      </c>
      <c r="P836">
        <v>25</v>
      </c>
      <c r="Q836" t="s">
        <v>48</v>
      </c>
    </row>
    <row r="837" spans="1:17">
      <c r="A837">
        <v>22</v>
      </c>
      <c r="B837" t="s">
        <v>137</v>
      </c>
      <c r="C837" t="s">
        <v>143</v>
      </c>
      <c r="D837" t="s">
        <v>27</v>
      </c>
      <c r="E837" s="6">
        <v>45367</v>
      </c>
      <c r="F837" t="s">
        <v>500</v>
      </c>
      <c r="G837" t="s">
        <v>1301</v>
      </c>
      <c r="H837" t="s">
        <v>40</v>
      </c>
      <c r="I837" s="4">
        <v>2352.118001253561</v>
      </c>
      <c r="J837">
        <v>146</v>
      </c>
      <c r="K837" t="s">
        <v>34</v>
      </c>
      <c r="L837" s="6">
        <v>45396</v>
      </c>
      <c r="M837" t="s">
        <v>50</v>
      </c>
      <c r="N837" t="s">
        <v>1748</v>
      </c>
      <c r="O837" t="s">
        <v>114</v>
      </c>
      <c r="P837">
        <v>29</v>
      </c>
      <c r="Q837" t="s">
        <v>45</v>
      </c>
    </row>
    <row r="838" spans="1:17">
      <c r="A838">
        <v>22</v>
      </c>
      <c r="B838" t="s">
        <v>137</v>
      </c>
      <c r="C838" t="s">
        <v>146</v>
      </c>
      <c r="D838" t="s">
        <v>30</v>
      </c>
      <c r="E838" s="6">
        <v>45372</v>
      </c>
      <c r="F838" t="s">
        <v>463</v>
      </c>
      <c r="G838" t="s">
        <v>1264</v>
      </c>
      <c r="H838" t="s">
        <v>38</v>
      </c>
      <c r="I838" s="4">
        <v>15209.64195961799</v>
      </c>
      <c r="J838">
        <v>139</v>
      </c>
      <c r="K838" t="s">
        <v>35</v>
      </c>
      <c r="L838" s="6">
        <v>45375</v>
      </c>
      <c r="M838" t="s">
        <v>52</v>
      </c>
      <c r="N838" t="s">
        <v>1748</v>
      </c>
      <c r="O838" t="s">
        <v>114</v>
      </c>
      <c r="P838">
        <v>3</v>
      </c>
      <c r="Q838" t="s">
        <v>45</v>
      </c>
    </row>
    <row r="839" spans="1:17">
      <c r="A839">
        <v>52</v>
      </c>
      <c r="B839" t="s">
        <v>138</v>
      </c>
      <c r="C839" t="s">
        <v>144</v>
      </c>
      <c r="D839" t="s">
        <v>29</v>
      </c>
      <c r="E839" s="6">
        <v>45376</v>
      </c>
      <c r="F839" t="s">
        <v>604</v>
      </c>
      <c r="G839" t="s">
        <v>1402</v>
      </c>
      <c r="H839" t="s">
        <v>39</v>
      </c>
      <c r="I839" s="4">
        <v>5137.411382229368</v>
      </c>
      <c r="J839">
        <v>467</v>
      </c>
      <c r="K839" t="s">
        <v>36</v>
      </c>
      <c r="L839" s="6">
        <v>45382</v>
      </c>
      <c r="M839" t="s">
        <v>50</v>
      </c>
      <c r="N839" t="s">
        <v>1748</v>
      </c>
      <c r="O839" t="s">
        <v>114</v>
      </c>
      <c r="P839">
        <v>6</v>
      </c>
      <c r="Q839" t="s">
        <v>47</v>
      </c>
    </row>
    <row r="840" spans="1:17">
      <c r="A840">
        <v>71</v>
      </c>
      <c r="B840" t="s">
        <v>138</v>
      </c>
      <c r="C840" t="s">
        <v>140</v>
      </c>
      <c r="D840" t="s">
        <v>28</v>
      </c>
      <c r="E840" s="6">
        <v>45382</v>
      </c>
      <c r="F840" t="s">
        <v>817</v>
      </c>
      <c r="G840" t="s">
        <v>1610</v>
      </c>
      <c r="H840" t="s">
        <v>42</v>
      </c>
      <c r="I840" s="4">
        <v>10590.45882890859</v>
      </c>
      <c r="J840">
        <v>190</v>
      </c>
      <c r="K840" t="s">
        <v>36</v>
      </c>
      <c r="L840" s="6">
        <v>45388</v>
      </c>
      <c r="M840" t="s">
        <v>51</v>
      </c>
      <c r="N840" t="s">
        <v>1747</v>
      </c>
      <c r="O840" t="s">
        <v>114</v>
      </c>
      <c r="P840">
        <v>6</v>
      </c>
      <c r="Q840" t="s">
        <v>48</v>
      </c>
    </row>
    <row r="841" spans="1:17">
      <c r="A841">
        <v>50</v>
      </c>
      <c r="B841" t="s">
        <v>137</v>
      </c>
      <c r="C841" t="s">
        <v>144</v>
      </c>
      <c r="D841" t="s">
        <v>32</v>
      </c>
      <c r="E841" s="6">
        <v>45365</v>
      </c>
      <c r="F841" t="s">
        <v>364</v>
      </c>
      <c r="G841" t="s">
        <v>1167</v>
      </c>
      <c r="H841" t="s">
        <v>40</v>
      </c>
      <c r="I841" s="4">
        <v>27857.48226575954</v>
      </c>
      <c r="J841">
        <v>365</v>
      </c>
      <c r="K841" t="s">
        <v>35</v>
      </c>
      <c r="L841" s="6">
        <v>45372</v>
      </c>
      <c r="M841" t="s">
        <v>51</v>
      </c>
      <c r="N841" t="s">
        <v>1748</v>
      </c>
      <c r="O841" t="s">
        <v>114</v>
      </c>
      <c r="P841">
        <v>7</v>
      </c>
      <c r="Q841" t="s">
        <v>46</v>
      </c>
    </row>
    <row r="842" spans="1:17">
      <c r="A842">
        <v>26</v>
      </c>
      <c r="B842" t="s">
        <v>138</v>
      </c>
      <c r="C842" t="s">
        <v>144</v>
      </c>
      <c r="D842" t="s">
        <v>31</v>
      </c>
      <c r="E842" s="6">
        <v>45352</v>
      </c>
      <c r="F842" t="s">
        <v>902</v>
      </c>
      <c r="G842" t="s">
        <v>1695</v>
      </c>
      <c r="H842" t="s">
        <v>41</v>
      </c>
      <c r="I842" s="4">
        <v>29089.86919924074</v>
      </c>
      <c r="J842">
        <v>280</v>
      </c>
      <c r="K842" t="s">
        <v>34</v>
      </c>
      <c r="L842" s="6">
        <v>45357</v>
      </c>
      <c r="M842" t="s">
        <v>54</v>
      </c>
      <c r="N842" t="s">
        <v>1746</v>
      </c>
      <c r="O842" t="s">
        <v>114</v>
      </c>
      <c r="P842">
        <v>5</v>
      </c>
      <c r="Q842" t="s">
        <v>45</v>
      </c>
    </row>
    <row r="843" spans="1:17">
      <c r="A843">
        <v>40</v>
      </c>
      <c r="B843" t="s">
        <v>138</v>
      </c>
      <c r="C843" t="s">
        <v>144</v>
      </c>
      <c r="D843" t="s">
        <v>32</v>
      </c>
      <c r="E843" s="6">
        <v>45379</v>
      </c>
      <c r="F843" t="s">
        <v>363</v>
      </c>
      <c r="G843" t="s">
        <v>1166</v>
      </c>
      <c r="H843" t="s">
        <v>38</v>
      </c>
      <c r="I843" s="4">
        <v>4781.944662475104</v>
      </c>
      <c r="J843">
        <v>392</v>
      </c>
      <c r="K843" t="s">
        <v>35</v>
      </c>
      <c r="L843" s="6">
        <v>45396</v>
      </c>
      <c r="M843" t="s">
        <v>50</v>
      </c>
      <c r="N843" t="s">
        <v>1746</v>
      </c>
      <c r="O843" t="s">
        <v>114</v>
      </c>
      <c r="P843">
        <v>17</v>
      </c>
      <c r="Q843" t="s">
        <v>46</v>
      </c>
    </row>
    <row r="844" spans="1:17">
      <c r="A844">
        <v>55</v>
      </c>
      <c r="B844" t="s">
        <v>137</v>
      </c>
      <c r="C844" t="s">
        <v>139</v>
      </c>
      <c r="D844" t="s">
        <v>30</v>
      </c>
      <c r="E844" s="6">
        <v>45360</v>
      </c>
      <c r="F844" t="s">
        <v>303</v>
      </c>
      <c r="G844" t="s">
        <v>1106</v>
      </c>
      <c r="H844" t="s">
        <v>41</v>
      </c>
      <c r="I844" s="4">
        <v>50441.62869710699</v>
      </c>
      <c r="J844">
        <v>402</v>
      </c>
      <c r="K844" t="s">
        <v>36</v>
      </c>
      <c r="L844" s="6">
        <v>45367</v>
      </c>
      <c r="M844" t="s">
        <v>53</v>
      </c>
      <c r="N844" t="s">
        <v>1748</v>
      </c>
      <c r="O844" t="s">
        <v>114</v>
      </c>
      <c r="P844">
        <v>7</v>
      </c>
      <c r="Q844" t="s">
        <v>47</v>
      </c>
    </row>
    <row r="845" spans="1:17">
      <c r="A845">
        <v>24</v>
      </c>
      <c r="B845" t="s">
        <v>137</v>
      </c>
      <c r="C845" t="s">
        <v>146</v>
      </c>
      <c r="D845" t="s">
        <v>27</v>
      </c>
      <c r="E845" s="6">
        <v>45363</v>
      </c>
      <c r="F845" t="s">
        <v>598</v>
      </c>
      <c r="G845" t="s">
        <v>1396</v>
      </c>
      <c r="H845" t="s">
        <v>39</v>
      </c>
      <c r="I845" s="4">
        <v>38447.51138359063</v>
      </c>
      <c r="J845">
        <v>402</v>
      </c>
      <c r="K845" t="s">
        <v>34</v>
      </c>
      <c r="L845" s="6">
        <v>45373</v>
      </c>
      <c r="M845" t="s">
        <v>50</v>
      </c>
      <c r="N845" t="s">
        <v>1746</v>
      </c>
      <c r="O845" t="s">
        <v>114</v>
      </c>
      <c r="P845">
        <v>10</v>
      </c>
      <c r="Q845" t="s">
        <v>45</v>
      </c>
    </row>
    <row r="846" spans="1:17">
      <c r="A846">
        <v>55</v>
      </c>
      <c r="B846" t="s">
        <v>138</v>
      </c>
      <c r="C846" t="s">
        <v>142</v>
      </c>
      <c r="D846" t="s">
        <v>27</v>
      </c>
      <c r="E846" s="6">
        <v>45382</v>
      </c>
      <c r="F846" t="s">
        <v>296</v>
      </c>
      <c r="G846" t="s">
        <v>1099</v>
      </c>
      <c r="H846" t="s">
        <v>38</v>
      </c>
      <c r="I846" s="4">
        <v>43460.93441633389</v>
      </c>
      <c r="J846">
        <v>260</v>
      </c>
      <c r="K846" t="s">
        <v>35</v>
      </c>
      <c r="L846" s="6">
        <v>45391</v>
      </c>
      <c r="M846" t="s">
        <v>53</v>
      </c>
      <c r="N846" t="s">
        <v>1746</v>
      </c>
      <c r="O846" t="s">
        <v>114</v>
      </c>
      <c r="P846">
        <v>9</v>
      </c>
      <c r="Q846" t="s">
        <v>47</v>
      </c>
    </row>
    <row r="847" spans="1:17">
      <c r="A847">
        <v>67</v>
      </c>
      <c r="B847" t="s">
        <v>137</v>
      </c>
      <c r="C847" t="s">
        <v>139</v>
      </c>
      <c r="D847" t="s">
        <v>28</v>
      </c>
      <c r="E847" s="6">
        <v>45359</v>
      </c>
      <c r="F847" t="s">
        <v>503</v>
      </c>
      <c r="G847" t="s">
        <v>1304</v>
      </c>
      <c r="H847" t="s">
        <v>38</v>
      </c>
      <c r="I847" s="4">
        <v>41114.91562164153</v>
      </c>
      <c r="J847">
        <v>465</v>
      </c>
      <c r="K847" t="s">
        <v>34</v>
      </c>
      <c r="L847" s="6">
        <v>45364</v>
      </c>
      <c r="M847" t="s">
        <v>52</v>
      </c>
      <c r="N847" t="s">
        <v>1747</v>
      </c>
      <c r="O847" t="s">
        <v>114</v>
      </c>
      <c r="P847">
        <v>5</v>
      </c>
      <c r="Q847" t="s">
        <v>48</v>
      </c>
    </row>
    <row r="848" spans="1:17">
      <c r="A848">
        <v>34</v>
      </c>
      <c r="B848" t="s">
        <v>138</v>
      </c>
      <c r="C848" t="s">
        <v>140</v>
      </c>
      <c r="D848" t="s">
        <v>27</v>
      </c>
      <c r="E848" s="6">
        <v>45367</v>
      </c>
      <c r="F848" t="s">
        <v>560</v>
      </c>
      <c r="G848" t="s">
        <v>1359</v>
      </c>
      <c r="H848" t="s">
        <v>41</v>
      </c>
      <c r="I848" s="4">
        <v>13037.70971093645</v>
      </c>
      <c r="J848">
        <v>376</v>
      </c>
      <c r="K848" t="s">
        <v>36</v>
      </c>
      <c r="L848" s="6">
        <v>45390</v>
      </c>
      <c r="M848" t="s">
        <v>50</v>
      </c>
      <c r="N848" t="s">
        <v>1748</v>
      </c>
      <c r="O848" t="s">
        <v>114</v>
      </c>
      <c r="P848">
        <v>23</v>
      </c>
      <c r="Q848" t="s">
        <v>45</v>
      </c>
    </row>
    <row r="849" spans="1:17">
      <c r="A849">
        <v>70</v>
      </c>
      <c r="B849" t="s">
        <v>138</v>
      </c>
      <c r="C849" t="s">
        <v>146</v>
      </c>
      <c r="D849" t="s">
        <v>32</v>
      </c>
      <c r="E849" s="6">
        <v>45368</v>
      </c>
      <c r="F849" t="s">
        <v>692</v>
      </c>
      <c r="G849" t="s">
        <v>1489</v>
      </c>
      <c r="H849" t="s">
        <v>42</v>
      </c>
      <c r="I849" s="4">
        <v>8507.094427999196</v>
      </c>
      <c r="J849">
        <v>135</v>
      </c>
      <c r="K849" t="s">
        <v>36</v>
      </c>
      <c r="L849" s="6">
        <v>45382</v>
      </c>
      <c r="M849" t="s">
        <v>54</v>
      </c>
      <c r="N849" t="s">
        <v>1748</v>
      </c>
      <c r="O849" t="s">
        <v>114</v>
      </c>
      <c r="P849">
        <v>14</v>
      </c>
      <c r="Q849" t="s">
        <v>48</v>
      </c>
    </row>
    <row r="850" spans="1:17">
      <c r="A850">
        <v>31</v>
      </c>
      <c r="B850" t="s">
        <v>138</v>
      </c>
      <c r="C850" t="s">
        <v>142</v>
      </c>
      <c r="D850" t="s">
        <v>32</v>
      </c>
      <c r="E850" s="6">
        <v>45353</v>
      </c>
      <c r="F850" t="s">
        <v>249</v>
      </c>
      <c r="G850" t="s">
        <v>1055</v>
      </c>
      <c r="H850" t="s">
        <v>39</v>
      </c>
      <c r="I850" s="4">
        <v>43558.7670527172</v>
      </c>
      <c r="J850">
        <v>332</v>
      </c>
      <c r="K850" t="s">
        <v>36</v>
      </c>
      <c r="L850" s="6">
        <v>45382</v>
      </c>
      <c r="M850" t="s">
        <v>50</v>
      </c>
      <c r="N850" t="s">
        <v>1747</v>
      </c>
      <c r="O850" t="s">
        <v>114</v>
      </c>
      <c r="P850">
        <v>29</v>
      </c>
      <c r="Q850" t="s">
        <v>45</v>
      </c>
    </row>
    <row r="851" spans="1:17">
      <c r="A851">
        <v>37</v>
      </c>
      <c r="B851" t="s">
        <v>138</v>
      </c>
      <c r="C851" t="s">
        <v>141</v>
      </c>
      <c r="D851" t="s">
        <v>30</v>
      </c>
      <c r="E851" s="6">
        <v>45352</v>
      </c>
      <c r="F851" t="s">
        <v>338</v>
      </c>
      <c r="G851" t="s">
        <v>1141</v>
      </c>
      <c r="H851" t="s">
        <v>40</v>
      </c>
      <c r="I851" s="4">
        <v>8335.974202191643</v>
      </c>
      <c r="J851">
        <v>396</v>
      </c>
      <c r="K851" t="s">
        <v>35</v>
      </c>
      <c r="L851" s="6">
        <v>45382</v>
      </c>
      <c r="M851" t="s">
        <v>51</v>
      </c>
      <c r="N851" t="s">
        <v>1746</v>
      </c>
      <c r="O851" t="s">
        <v>114</v>
      </c>
      <c r="P851">
        <v>30</v>
      </c>
      <c r="Q851" t="s">
        <v>46</v>
      </c>
    </row>
    <row r="852" spans="1:17">
      <c r="A852">
        <v>58</v>
      </c>
      <c r="B852" t="s">
        <v>137</v>
      </c>
      <c r="C852" t="s">
        <v>140</v>
      </c>
      <c r="D852" t="s">
        <v>30</v>
      </c>
      <c r="E852" s="6">
        <v>45380</v>
      </c>
      <c r="F852" t="s">
        <v>689</v>
      </c>
      <c r="G852" t="s">
        <v>1486</v>
      </c>
      <c r="H852" t="s">
        <v>41</v>
      </c>
      <c r="I852" s="4">
        <v>34131.2205417117</v>
      </c>
      <c r="J852">
        <v>109</v>
      </c>
      <c r="K852" t="s">
        <v>35</v>
      </c>
      <c r="L852" s="6">
        <v>45410</v>
      </c>
      <c r="M852" t="s">
        <v>52</v>
      </c>
      <c r="N852" t="s">
        <v>1746</v>
      </c>
      <c r="O852" t="s">
        <v>114</v>
      </c>
      <c r="P852">
        <v>30</v>
      </c>
      <c r="Q852" t="s">
        <v>47</v>
      </c>
    </row>
    <row r="853" spans="1:17">
      <c r="A853">
        <v>81</v>
      </c>
      <c r="B853" t="s">
        <v>138</v>
      </c>
      <c r="C853" t="s">
        <v>142</v>
      </c>
      <c r="D853" t="s">
        <v>31</v>
      </c>
      <c r="E853" s="6">
        <v>45382</v>
      </c>
      <c r="F853" t="s">
        <v>289</v>
      </c>
      <c r="G853" t="s">
        <v>1092</v>
      </c>
      <c r="H853" t="s">
        <v>39</v>
      </c>
      <c r="I853" s="4">
        <v>44432.57262911568</v>
      </c>
      <c r="J853">
        <v>404</v>
      </c>
      <c r="K853" t="s">
        <v>34</v>
      </c>
      <c r="L853" s="6">
        <v>45405</v>
      </c>
      <c r="M853" t="s">
        <v>54</v>
      </c>
      <c r="N853" t="s">
        <v>1746</v>
      </c>
      <c r="O853" t="s">
        <v>114</v>
      </c>
      <c r="P853">
        <v>23</v>
      </c>
      <c r="Q853" t="s">
        <v>48</v>
      </c>
    </row>
    <row r="854" spans="1:17">
      <c r="A854">
        <v>62</v>
      </c>
      <c r="B854" t="s">
        <v>137</v>
      </c>
      <c r="C854" t="s">
        <v>139</v>
      </c>
      <c r="D854" t="s">
        <v>29</v>
      </c>
      <c r="E854" s="6">
        <v>45381</v>
      </c>
      <c r="F854" t="s">
        <v>783</v>
      </c>
      <c r="G854" t="s">
        <v>1576</v>
      </c>
      <c r="H854" t="s">
        <v>41</v>
      </c>
      <c r="I854" s="4">
        <v>16645.19804759516</v>
      </c>
      <c r="J854">
        <v>445</v>
      </c>
      <c r="K854" t="s">
        <v>36</v>
      </c>
      <c r="L854" s="6">
        <v>45406</v>
      </c>
      <c r="M854" t="s">
        <v>53</v>
      </c>
      <c r="N854" t="s">
        <v>1746</v>
      </c>
      <c r="O854" t="s">
        <v>114</v>
      </c>
      <c r="P854">
        <v>25</v>
      </c>
      <c r="Q854" t="s">
        <v>47</v>
      </c>
    </row>
    <row r="855" spans="1:17">
      <c r="A855">
        <v>43</v>
      </c>
      <c r="B855" t="s">
        <v>137</v>
      </c>
      <c r="C855" t="s">
        <v>142</v>
      </c>
      <c r="D855" t="s">
        <v>27</v>
      </c>
      <c r="E855" s="6">
        <v>45377</v>
      </c>
      <c r="F855" t="s">
        <v>814</v>
      </c>
      <c r="G855" t="s">
        <v>1607</v>
      </c>
      <c r="H855" t="s">
        <v>40</v>
      </c>
      <c r="I855" s="4">
        <v>45160.38254635262</v>
      </c>
      <c r="J855">
        <v>228</v>
      </c>
      <c r="K855" t="s">
        <v>35</v>
      </c>
      <c r="L855" s="6">
        <v>45390</v>
      </c>
      <c r="M855" t="s">
        <v>53</v>
      </c>
      <c r="N855" t="s">
        <v>1748</v>
      </c>
      <c r="O855" t="s">
        <v>114</v>
      </c>
      <c r="P855">
        <v>13</v>
      </c>
      <c r="Q855" t="s">
        <v>46</v>
      </c>
    </row>
    <row r="856" spans="1:17">
      <c r="A856">
        <v>86</v>
      </c>
      <c r="B856" t="s">
        <v>138</v>
      </c>
      <c r="C856" t="s">
        <v>143</v>
      </c>
      <c r="D856" t="s">
        <v>32</v>
      </c>
      <c r="E856" s="6">
        <v>45360</v>
      </c>
      <c r="F856" t="s">
        <v>207</v>
      </c>
      <c r="G856" t="s">
        <v>1013</v>
      </c>
      <c r="H856" t="s">
        <v>39</v>
      </c>
      <c r="I856" s="4">
        <v>44447.64354333157</v>
      </c>
      <c r="J856">
        <v>405</v>
      </c>
      <c r="K856" t="s">
        <v>35</v>
      </c>
      <c r="L856" s="6">
        <v>45376</v>
      </c>
      <c r="M856" t="s">
        <v>50</v>
      </c>
      <c r="N856" t="s">
        <v>1746</v>
      </c>
      <c r="O856" t="s">
        <v>114</v>
      </c>
      <c r="P856">
        <v>16</v>
      </c>
      <c r="Q856" t="s">
        <v>48</v>
      </c>
    </row>
    <row r="857" spans="1:17">
      <c r="A857">
        <v>60</v>
      </c>
      <c r="B857" t="s">
        <v>137</v>
      </c>
      <c r="C857" t="s">
        <v>139</v>
      </c>
      <c r="D857" t="s">
        <v>27</v>
      </c>
      <c r="E857" s="6">
        <v>45353</v>
      </c>
      <c r="F857" t="s">
        <v>147</v>
      </c>
      <c r="G857" t="s">
        <v>953</v>
      </c>
      <c r="H857" t="s">
        <v>39</v>
      </c>
      <c r="I857" s="4">
        <v>29504.38744221146</v>
      </c>
      <c r="J857">
        <v>422</v>
      </c>
      <c r="K857" t="s">
        <v>34</v>
      </c>
      <c r="L857" s="6">
        <v>45377</v>
      </c>
      <c r="M857" t="s">
        <v>51</v>
      </c>
      <c r="N857" t="s">
        <v>1746</v>
      </c>
      <c r="O857" t="s">
        <v>114</v>
      </c>
      <c r="P857">
        <v>24</v>
      </c>
      <c r="Q857" t="s">
        <v>47</v>
      </c>
    </row>
    <row r="858" spans="1:17">
      <c r="A858">
        <v>64</v>
      </c>
      <c r="B858" t="s">
        <v>138</v>
      </c>
      <c r="C858" t="s">
        <v>139</v>
      </c>
      <c r="D858" t="s">
        <v>32</v>
      </c>
      <c r="E858" s="6">
        <v>45364</v>
      </c>
      <c r="F858" t="s">
        <v>687</v>
      </c>
      <c r="G858" t="s">
        <v>1484</v>
      </c>
      <c r="H858" t="s">
        <v>41</v>
      </c>
      <c r="I858" s="4">
        <v>5646.636391145286</v>
      </c>
      <c r="J858">
        <v>272</v>
      </c>
      <c r="K858" t="s">
        <v>35</v>
      </c>
      <c r="L858" s="6">
        <v>45371</v>
      </c>
      <c r="M858" t="s">
        <v>52</v>
      </c>
      <c r="N858" t="s">
        <v>1746</v>
      </c>
      <c r="O858" t="s">
        <v>114</v>
      </c>
      <c r="P858">
        <v>7</v>
      </c>
      <c r="Q858" t="s">
        <v>47</v>
      </c>
    </row>
    <row r="859" spans="1:17">
      <c r="A859">
        <v>38</v>
      </c>
      <c r="B859" t="s">
        <v>137</v>
      </c>
      <c r="C859" t="s">
        <v>140</v>
      </c>
      <c r="D859" t="s">
        <v>28</v>
      </c>
      <c r="E859" s="6">
        <v>45373</v>
      </c>
      <c r="F859" t="s">
        <v>851</v>
      </c>
      <c r="G859" t="s">
        <v>1644</v>
      </c>
      <c r="H859" t="s">
        <v>42</v>
      </c>
      <c r="I859" s="4">
        <v>22361.53686114206</v>
      </c>
      <c r="J859">
        <v>200</v>
      </c>
      <c r="K859" t="s">
        <v>34</v>
      </c>
      <c r="L859" s="6">
        <v>45396</v>
      </c>
      <c r="M859" t="s">
        <v>51</v>
      </c>
      <c r="N859" t="s">
        <v>1748</v>
      </c>
      <c r="O859" t="s">
        <v>114</v>
      </c>
      <c r="P859">
        <v>23</v>
      </c>
      <c r="Q859" t="s">
        <v>46</v>
      </c>
    </row>
    <row r="860" spans="1:17">
      <c r="A860">
        <v>63</v>
      </c>
      <c r="B860" t="s">
        <v>138</v>
      </c>
      <c r="C860" t="s">
        <v>143</v>
      </c>
      <c r="D860" t="s">
        <v>28</v>
      </c>
      <c r="E860" s="6">
        <v>45364</v>
      </c>
      <c r="F860" t="s">
        <v>612</v>
      </c>
      <c r="G860" t="s">
        <v>1410</v>
      </c>
      <c r="H860" t="s">
        <v>40</v>
      </c>
      <c r="I860" s="4">
        <v>3185.95224434195</v>
      </c>
      <c r="J860">
        <v>295</v>
      </c>
      <c r="K860" t="s">
        <v>36</v>
      </c>
      <c r="L860" s="6">
        <v>45390</v>
      </c>
      <c r="M860" t="s">
        <v>50</v>
      </c>
      <c r="N860" t="s">
        <v>1748</v>
      </c>
      <c r="O860" t="s">
        <v>114</v>
      </c>
      <c r="P860">
        <v>26</v>
      </c>
      <c r="Q860" t="s">
        <v>47</v>
      </c>
    </row>
    <row r="861" spans="1:17">
      <c r="A861">
        <v>27</v>
      </c>
      <c r="B861" t="s">
        <v>138</v>
      </c>
      <c r="C861" t="s">
        <v>140</v>
      </c>
      <c r="D861" t="s">
        <v>31</v>
      </c>
      <c r="E861" s="6">
        <v>45358</v>
      </c>
      <c r="F861" t="s">
        <v>923</v>
      </c>
      <c r="G861" t="s">
        <v>1716</v>
      </c>
      <c r="H861" t="s">
        <v>40</v>
      </c>
      <c r="I861" s="4">
        <v>48495.96296274642</v>
      </c>
      <c r="J861">
        <v>430</v>
      </c>
      <c r="K861" t="s">
        <v>35</v>
      </c>
      <c r="L861" s="6">
        <v>45372</v>
      </c>
      <c r="M861" t="s">
        <v>52</v>
      </c>
      <c r="N861" t="s">
        <v>1746</v>
      </c>
      <c r="O861" t="s">
        <v>114</v>
      </c>
      <c r="P861">
        <v>14</v>
      </c>
      <c r="Q861" t="s">
        <v>45</v>
      </c>
    </row>
    <row r="862" spans="1:17">
      <c r="A862">
        <v>46</v>
      </c>
      <c r="B862" t="s">
        <v>137</v>
      </c>
      <c r="C862" t="s">
        <v>146</v>
      </c>
      <c r="D862" t="s">
        <v>28</v>
      </c>
      <c r="E862" s="6">
        <v>45380</v>
      </c>
      <c r="F862" t="s">
        <v>545</v>
      </c>
      <c r="G862" t="s">
        <v>1344</v>
      </c>
      <c r="H862" t="s">
        <v>40</v>
      </c>
      <c r="I862" s="4">
        <v>19960.47407397622</v>
      </c>
      <c r="J862">
        <v>234</v>
      </c>
      <c r="K862" t="s">
        <v>36</v>
      </c>
      <c r="L862" s="6">
        <v>45406</v>
      </c>
      <c r="M862" t="s">
        <v>52</v>
      </c>
      <c r="N862" t="s">
        <v>1748</v>
      </c>
      <c r="O862" t="s">
        <v>114</v>
      </c>
      <c r="P862">
        <v>26</v>
      </c>
      <c r="Q862" t="s">
        <v>46</v>
      </c>
    </row>
    <row r="863" spans="1:17">
      <c r="A863">
        <v>26</v>
      </c>
      <c r="B863" t="s">
        <v>137</v>
      </c>
      <c r="C863" t="s">
        <v>146</v>
      </c>
      <c r="D863" t="s">
        <v>31</v>
      </c>
      <c r="E863" s="6">
        <v>45375</v>
      </c>
      <c r="F863" t="s">
        <v>878</v>
      </c>
      <c r="G863" t="s">
        <v>1671</v>
      </c>
      <c r="H863" t="s">
        <v>38</v>
      </c>
      <c r="I863" s="4">
        <v>8216.519438168914</v>
      </c>
      <c r="J863">
        <v>294</v>
      </c>
      <c r="K863" t="s">
        <v>36</v>
      </c>
      <c r="L863" s="6">
        <v>45378</v>
      </c>
      <c r="M863" t="s">
        <v>51</v>
      </c>
      <c r="N863" t="s">
        <v>1747</v>
      </c>
      <c r="O863" t="s">
        <v>114</v>
      </c>
      <c r="P863">
        <v>3</v>
      </c>
      <c r="Q863" t="s">
        <v>45</v>
      </c>
    </row>
    <row r="864" spans="1:17">
      <c r="A864">
        <v>20</v>
      </c>
      <c r="B864" t="s">
        <v>138</v>
      </c>
      <c r="C864" t="s">
        <v>146</v>
      </c>
      <c r="D864" t="s">
        <v>29</v>
      </c>
      <c r="E864" s="6">
        <v>45369</v>
      </c>
      <c r="F864" t="s">
        <v>522</v>
      </c>
      <c r="G864" t="s">
        <v>1321</v>
      </c>
      <c r="H864" t="s">
        <v>39</v>
      </c>
      <c r="I864" s="4">
        <v>43054.63752600054</v>
      </c>
      <c r="J864">
        <v>198</v>
      </c>
      <c r="K864" t="s">
        <v>35</v>
      </c>
      <c r="L864" s="6">
        <v>45397</v>
      </c>
      <c r="M864" t="s">
        <v>52</v>
      </c>
      <c r="N864" t="s">
        <v>1747</v>
      </c>
      <c r="O864" t="s">
        <v>114</v>
      </c>
      <c r="P864">
        <v>28</v>
      </c>
      <c r="Q864" t="s">
        <v>45</v>
      </c>
    </row>
    <row r="865" spans="1:17">
      <c r="A865">
        <v>35</v>
      </c>
      <c r="B865" t="s">
        <v>137</v>
      </c>
      <c r="C865" t="s">
        <v>143</v>
      </c>
      <c r="D865" t="s">
        <v>29</v>
      </c>
      <c r="E865" s="6">
        <v>45356</v>
      </c>
      <c r="F865" t="s">
        <v>723</v>
      </c>
      <c r="G865" t="s">
        <v>1519</v>
      </c>
      <c r="H865" t="s">
        <v>41</v>
      </c>
      <c r="I865" s="4">
        <v>17821.59669072693</v>
      </c>
      <c r="J865">
        <v>131</v>
      </c>
      <c r="K865" t="s">
        <v>35</v>
      </c>
      <c r="L865" s="6">
        <v>45357</v>
      </c>
      <c r="M865" t="s">
        <v>51</v>
      </c>
      <c r="N865" t="s">
        <v>1746</v>
      </c>
      <c r="O865" t="s">
        <v>114</v>
      </c>
      <c r="P865">
        <v>1</v>
      </c>
      <c r="Q865" t="s">
        <v>45</v>
      </c>
    </row>
    <row r="866" spans="1:17">
      <c r="A866">
        <v>51</v>
      </c>
      <c r="B866" t="s">
        <v>138</v>
      </c>
      <c r="C866" t="s">
        <v>141</v>
      </c>
      <c r="D866" t="s">
        <v>30</v>
      </c>
      <c r="E866" s="6">
        <v>45364</v>
      </c>
      <c r="F866" t="s">
        <v>627</v>
      </c>
      <c r="G866" t="s">
        <v>1425</v>
      </c>
      <c r="H866" t="s">
        <v>38</v>
      </c>
      <c r="I866" s="4">
        <v>21863.10168322982</v>
      </c>
      <c r="J866">
        <v>192</v>
      </c>
      <c r="K866" t="s">
        <v>35</v>
      </c>
      <c r="L866" s="6">
        <v>45379</v>
      </c>
      <c r="M866" t="s">
        <v>50</v>
      </c>
      <c r="N866" t="s">
        <v>1747</v>
      </c>
      <c r="O866" t="s">
        <v>114</v>
      </c>
      <c r="P866">
        <v>15</v>
      </c>
      <c r="Q866" t="s">
        <v>47</v>
      </c>
    </row>
    <row r="867" spans="1:17">
      <c r="A867">
        <v>54</v>
      </c>
      <c r="B867" t="s">
        <v>137</v>
      </c>
      <c r="C867" t="s">
        <v>146</v>
      </c>
      <c r="D867" t="s">
        <v>27</v>
      </c>
      <c r="E867" s="6">
        <v>45373</v>
      </c>
      <c r="F867" t="s">
        <v>746</v>
      </c>
      <c r="G867" t="s">
        <v>1540</v>
      </c>
      <c r="H867" t="s">
        <v>39</v>
      </c>
      <c r="I867" s="4">
        <v>9306.590004644801</v>
      </c>
      <c r="J867">
        <v>253</v>
      </c>
      <c r="K867" t="s">
        <v>34</v>
      </c>
      <c r="L867" s="6">
        <v>45400</v>
      </c>
      <c r="M867" t="s">
        <v>52</v>
      </c>
      <c r="N867" t="s">
        <v>1747</v>
      </c>
      <c r="O867" t="s">
        <v>114</v>
      </c>
      <c r="P867">
        <v>27</v>
      </c>
      <c r="Q867" t="s">
        <v>47</v>
      </c>
    </row>
    <row r="868" spans="1:17">
      <c r="A868">
        <v>46</v>
      </c>
      <c r="B868" t="s">
        <v>137</v>
      </c>
      <c r="C868" t="s">
        <v>146</v>
      </c>
      <c r="D868" t="s">
        <v>27</v>
      </c>
      <c r="E868" s="6">
        <v>45356</v>
      </c>
      <c r="F868" t="s">
        <v>291</v>
      </c>
      <c r="G868" t="s">
        <v>1094</v>
      </c>
      <c r="H868" t="s">
        <v>39</v>
      </c>
      <c r="I868" s="4">
        <v>3497.798528128082</v>
      </c>
      <c r="J868">
        <v>362</v>
      </c>
      <c r="K868" t="s">
        <v>34</v>
      </c>
      <c r="L868" s="6">
        <v>45378</v>
      </c>
      <c r="M868" t="s">
        <v>54</v>
      </c>
      <c r="N868" t="s">
        <v>1746</v>
      </c>
      <c r="O868" t="s">
        <v>114</v>
      </c>
      <c r="P868">
        <v>22</v>
      </c>
      <c r="Q868" t="s">
        <v>46</v>
      </c>
    </row>
    <row r="869" spans="1:17">
      <c r="A869">
        <v>77</v>
      </c>
      <c r="B869" t="s">
        <v>138</v>
      </c>
      <c r="C869" t="s">
        <v>145</v>
      </c>
      <c r="D869" t="s">
        <v>27</v>
      </c>
      <c r="E869" s="6">
        <v>45362</v>
      </c>
      <c r="F869" t="s">
        <v>744</v>
      </c>
      <c r="G869" t="s">
        <v>1538</v>
      </c>
      <c r="H869" t="s">
        <v>38</v>
      </c>
      <c r="I869" s="4">
        <v>5658.797823196233</v>
      </c>
      <c r="J869">
        <v>141</v>
      </c>
      <c r="K869" t="s">
        <v>34</v>
      </c>
      <c r="L869" s="6">
        <v>45369</v>
      </c>
      <c r="M869" t="s">
        <v>54</v>
      </c>
      <c r="N869" t="s">
        <v>1748</v>
      </c>
      <c r="O869" t="s">
        <v>114</v>
      </c>
      <c r="P869">
        <v>7</v>
      </c>
      <c r="Q869" t="s">
        <v>48</v>
      </c>
    </row>
    <row r="870" spans="1:17">
      <c r="A870">
        <v>38</v>
      </c>
      <c r="B870" t="s">
        <v>137</v>
      </c>
      <c r="C870" t="s">
        <v>142</v>
      </c>
      <c r="D870" t="s">
        <v>30</v>
      </c>
      <c r="E870" s="6">
        <v>45365</v>
      </c>
      <c r="F870" t="s">
        <v>669</v>
      </c>
      <c r="G870" t="s">
        <v>1468</v>
      </c>
      <c r="H870" t="s">
        <v>38</v>
      </c>
      <c r="I870" s="4">
        <v>36119.39405335981</v>
      </c>
      <c r="J870">
        <v>436</v>
      </c>
      <c r="K870" t="s">
        <v>34</v>
      </c>
      <c r="L870" s="6">
        <v>45379</v>
      </c>
      <c r="M870" t="s">
        <v>53</v>
      </c>
      <c r="N870" t="s">
        <v>1746</v>
      </c>
      <c r="O870" t="s">
        <v>114</v>
      </c>
      <c r="P870">
        <v>14</v>
      </c>
      <c r="Q870" t="s">
        <v>46</v>
      </c>
    </row>
    <row r="871" spans="1:17">
      <c r="A871">
        <v>69</v>
      </c>
      <c r="B871" t="s">
        <v>137</v>
      </c>
      <c r="C871" t="s">
        <v>145</v>
      </c>
      <c r="D871" t="s">
        <v>27</v>
      </c>
      <c r="E871" s="6">
        <v>45366</v>
      </c>
      <c r="F871" t="s">
        <v>433</v>
      </c>
      <c r="G871" t="s">
        <v>1236</v>
      </c>
      <c r="H871" t="s">
        <v>38</v>
      </c>
      <c r="I871" s="4">
        <v>15422.66506007777</v>
      </c>
      <c r="J871">
        <v>431</v>
      </c>
      <c r="K871" t="s">
        <v>34</v>
      </c>
      <c r="L871" s="6">
        <v>45391</v>
      </c>
      <c r="M871" t="s">
        <v>52</v>
      </c>
      <c r="N871" t="s">
        <v>1746</v>
      </c>
      <c r="O871" t="s">
        <v>114</v>
      </c>
      <c r="P871">
        <v>25</v>
      </c>
      <c r="Q871" t="s">
        <v>48</v>
      </c>
    </row>
    <row r="872" spans="1:17">
      <c r="A872">
        <v>54</v>
      </c>
      <c r="B872" t="s">
        <v>138</v>
      </c>
      <c r="C872" t="s">
        <v>139</v>
      </c>
      <c r="D872" t="s">
        <v>30</v>
      </c>
      <c r="E872" s="6">
        <v>45362</v>
      </c>
      <c r="F872" t="s">
        <v>528</v>
      </c>
      <c r="G872" t="s">
        <v>1327</v>
      </c>
      <c r="H872" t="s">
        <v>42</v>
      </c>
      <c r="I872" s="4">
        <v>18790.34460882538</v>
      </c>
      <c r="J872">
        <v>500</v>
      </c>
      <c r="K872" t="s">
        <v>34</v>
      </c>
      <c r="L872" s="6">
        <v>45372</v>
      </c>
      <c r="M872" t="s">
        <v>52</v>
      </c>
      <c r="N872" t="s">
        <v>1748</v>
      </c>
      <c r="O872" t="s">
        <v>114</v>
      </c>
      <c r="P872">
        <v>10</v>
      </c>
      <c r="Q872" t="s">
        <v>47</v>
      </c>
    </row>
    <row r="873" spans="1:17">
      <c r="A873">
        <v>49</v>
      </c>
      <c r="B873" t="s">
        <v>138</v>
      </c>
      <c r="C873" t="s">
        <v>139</v>
      </c>
      <c r="D873" t="s">
        <v>29</v>
      </c>
      <c r="E873" s="6">
        <v>45375</v>
      </c>
      <c r="F873" t="s">
        <v>286</v>
      </c>
      <c r="G873" t="s">
        <v>1015</v>
      </c>
      <c r="H873" t="s">
        <v>40</v>
      </c>
      <c r="I873" s="4">
        <v>3437.651066826801</v>
      </c>
      <c r="J873">
        <v>446</v>
      </c>
      <c r="K873" t="s">
        <v>36</v>
      </c>
      <c r="L873" s="6">
        <v>45398</v>
      </c>
      <c r="M873" t="s">
        <v>53</v>
      </c>
      <c r="N873" t="s">
        <v>1747</v>
      </c>
      <c r="O873" t="s">
        <v>114</v>
      </c>
      <c r="P873">
        <v>23</v>
      </c>
      <c r="Q873" t="s">
        <v>46</v>
      </c>
    </row>
    <row r="874" spans="1:17">
      <c r="A874">
        <v>44</v>
      </c>
      <c r="B874" t="s">
        <v>138</v>
      </c>
      <c r="C874" t="s">
        <v>139</v>
      </c>
      <c r="D874" t="s">
        <v>31</v>
      </c>
      <c r="E874" s="6">
        <v>45378</v>
      </c>
      <c r="F874" t="s">
        <v>812</v>
      </c>
      <c r="G874" t="s">
        <v>1605</v>
      </c>
      <c r="H874" t="s">
        <v>41</v>
      </c>
      <c r="I874" s="4">
        <v>31862.11925154133</v>
      </c>
      <c r="J874">
        <v>124</v>
      </c>
      <c r="K874" t="s">
        <v>35</v>
      </c>
      <c r="L874" s="6">
        <v>45407</v>
      </c>
      <c r="M874" t="s">
        <v>51</v>
      </c>
      <c r="N874" t="s">
        <v>1748</v>
      </c>
      <c r="O874" t="s">
        <v>114</v>
      </c>
      <c r="P874">
        <v>29</v>
      </c>
      <c r="Q874" t="s">
        <v>46</v>
      </c>
    </row>
    <row r="875" spans="1:17">
      <c r="A875">
        <v>52</v>
      </c>
      <c r="B875" t="s">
        <v>137</v>
      </c>
      <c r="C875" t="s">
        <v>142</v>
      </c>
      <c r="D875" t="s">
        <v>28</v>
      </c>
      <c r="E875" s="6">
        <v>45361</v>
      </c>
      <c r="F875" t="s">
        <v>832</v>
      </c>
      <c r="G875" t="s">
        <v>1625</v>
      </c>
      <c r="H875" t="s">
        <v>39</v>
      </c>
      <c r="I875" s="4">
        <v>38782.05327584196</v>
      </c>
      <c r="J875">
        <v>357</v>
      </c>
      <c r="K875" t="s">
        <v>35</v>
      </c>
      <c r="L875" s="6">
        <v>45384</v>
      </c>
      <c r="M875" t="s">
        <v>51</v>
      </c>
      <c r="N875" t="s">
        <v>1748</v>
      </c>
      <c r="O875" t="s">
        <v>114</v>
      </c>
      <c r="P875">
        <v>23</v>
      </c>
      <c r="Q875" t="s">
        <v>47</v>
      </c>
    </row>
    <row r="876" spans="1:17">
      <c r="A876">
        <v>19</v>
      </c>
      <c r="B876" t="s">
        <v>138</v>
      </c>
      <c r="C876" t="s">
        <v>146</v>
      </c>
      <c r="D876" t="s">
        <v>31</v>
      </c>
      <c r="E876" s="6">
        <v>45370</v>
      </c>
      <c r="F876" t="s">
        <v>792</v>
      </c>
      <c r="G876" t="s">
        <v>1585</v>
      </c>
      <c r="H876" t="s">
        <v>38</v>
      </c>
      <c r="I876" s="4">
        <v>17347.74154519234</v>
      </c>
      <c r="J876">
        <v>196</v>
      </c>
      <c r="K876" t="s">
        <v>35</v>
      </c>
      <c r="L876" s="6">
        <v>45395</v>
      </c>
      <c r="M876" t="s">
        <v>53</v>
      </c>
      <c r="N876" t="s">
        <v>1747</v>
      </c>
      <c r="O876" t="s">
        <v>114</v>
      </c>
      <c r="P876">
        <v>25</v>
      </c>
      <c r="Q876" t="s">
        <v>45</v>
      </c>
    </row>
    <row r="877" spans="1:17">
      <c r="A877">
        <v>33</v>
      </c>
      <c r="B877" t="s">
        <v>138</v>
      </c>
      <c r="C877" t="s">
        <v>144</v>
      </c>
      <c r="D877" t="s">
        <v>31</v>
      </c>
      <c r="E877" s="6">
        <v>45365</v>
      </c>
      <c r="F877" t="s">
        <v>675</v>
      </c>
      <c r="G877" t="s">
        <v>1474</v>
      </c>
      <c r="H877" t="s">
        <v>40</v>
      </c>
      <c r="I877" s="4">
        <v>44719.52412673645</v>
      </c>
      <c r="J877">
        <v>119</v>
      </c>
      <c r="K877" t="s">
        <v>36</v>
      </c>
      <c r="L877" s="6">
        <v>45366</v>
      </c>
      <c r="M877" t="s">
        <v>52</v>
      </c>
      <c r="N877" t="s">
        <v>1746</v>
      </c>
      <c r="O877" t="s">
        <v>114</v>
      </c>
      <c r="P877">
        <v>1</v>
      </c>
      <c r="Q877" t="s">
        <v>45</v>
      </c>
    </row>
    <row r="878" spans="1:17">
      <c r="A878">
        <v>66</v>
      </c>
      <c r="B878" t="s">
        <v>137</v>
      </c>
      <c r="C878" t="s">
        <v>145</v>
      </c>
      <c r="D878" t="s">
        <v>29</v>
      </c>
      <c r="E878" s="6">
        <v>45359</v>
      </c>
      <c r="F878" t="s">
        <v>221</v>
      </c>
      <c r="G878" t="s">
        <v>1027</v>
      </c>
      <c r="H878" t="s">
        <v>38</v>
      </c>
      <c r="I878" s="4">
        <v>35617.81049067285</v>
      </c>
      <c r="J878">
        <v>346</v>
      </c>
      <c r="K878" t="s">
        <v>35</v>
      </c>
      <c r="L878" s="6">
        <v>45387</v>
      </c>
      <c r="M878" t="s">
        <v>51</v>
      </c>
      <c r="N878" t="s">
        <v>1746</v>
      </c>
      <c r="O878" t="s">
        <v>114</v>
      </c>
      <c r="P878">
        <v>28</v>
      </c>
      <c r="Q878" t="s">
        <v>48</v>
      </c>
    </row>
    <row r="879" spans="1:17">
      <c r="A879">
        <v>77</v>
      </c>
      <c r="B879" t="s">
        <v>137</v>
      </c>
      <c r="C879" t="s">
        <v>141</v>
      </c>
      <c r="D879" t="s">
        <v>30</v>
      </c>
      <c r="E879" s="6">
        <v>45372</v>
      </c>
      <c r="F879" t="s">
        <v>234</v>
      </c>
      <c r="G879" t="s">
        <v>1040</v>
      </c>
      <c r="H879" t="s">
        <v>42</v>
      </c>
      <c r="I879" s="4">
        <v>34699.9074316292</v>
      </c>
      <c r="J879">
        <v>491</v>
      </c>
      <c r="K879" t="s">
        <v>34</v>
      </c>
      <c r="L879" s="6">
        <v>45397</v>
      </c>
      <c r="M879" t="s">
        <v>54</v>
      </c>
      <c r="N879" t="s">
        <v>1748</v>
      </c>
      <c r="O879" t="s">
        <v>114</v>
      </c>
      <c r="P879">
        <v>25</v>
      </c>
      <c r="Q879" t="s">
        <v>48</v>
      </c>
    </row>
    <row r="880" spans="1:17">
      <c r="A880">
        <v>76</v>
      </c>
      <c r="B880" t="s">
        <v>138</v>
      </c>
      <c r="C880" t="s">
        <v>146</v>
      </c>
      <c r="D880" t="s">
        <v>27</v>
      </c>
      <c r="E880" s="6">
        <v>45359</v>
      </c>
      <c r="F880" t="s">
        <v>479</v>
      </c>
      <c r="G880" t="s">
        <v>1280</v>
      </c>
      <c r="H880" t="s">
        <v>40</v>
      </c>
      <c r="I880" s="4">
        <v>41574.77418098669</v>
      </c>
      <c r="J880">
        <v>127</v>
      </c>
      <c r="K880" t="s">
        <v>34</v>
      </c>
      <c r="L880" s="6">
        <v>45369</v>
      </c>
      <c r="M880" t="s">
        <v>54</v>
      </c>
      <c r="N880" t="s">
        <v>1747</v>
      </c>
      <c r="O880" t="s">
        <v>114</v>
      </c>
      <c r="P880">
        <v>10</v>
      </c>
      <c r="Q880" t="s">
        <v>48</v>
      </c>
    </row>
    <row r="881" spans="1:17">
      <c r="A881">
        <v>78</v>
      </c>
      <c r="B881" t="s">
        <v>138</v>
      </c>
      <c r="C881" t="s">
        <v>141</v>
      </c>
      <c r="D881" t="s">
        <v>30</v>
      </c>
      <c r="E881" s="6">
        <v>45370</v>
      </c>
      <c r="F881" t="s">
        <v>697</v>
      </c>
      <c r="G881" t="s">
        <v>1493</v>
      </c>
      <c r="H881" t="s">
        <v>41</v>
      </c>
      <c r="I881" s="4">
        <v>15383.78079651901</v>
      </c>
      <c r="J881">
        <v>430</v>
      </c>
      <c r="K881" t="s">
        <v>36</v>
      </c>
      <c r="L881" s="6">
        <v>45372</v>
      </c>
      <c r="M881" t="s">
        <v>50</v>
      </c>
      <c r="N881" t="s">
        <v>1748</v>
      </c>
      <c r="O881" t="s">
        <v>114</v>
      </c>
      <c r="P881">
        <v>2</v>
      </c>
      <c r="Q881" t="s">
        <v>48</v>
      </c>
    </row>
    <row r="882" spans="1:17">
      <c r="A882">
        <v>68</v>
      </c>
      <c r="B882" t="s">
        <v>137</v>
      </c>
      <c r="C882" t="s">
        <v>142</v>
      </c>
      <c r="D882" t="s">
        <v>32</v>
      </c>
      <c r="E882" s="6">
        <v>45360</v>
      </c>
      <c r="F882" t="s">
        <v>307</v>
      </c>
      <c r="G882" t="s">
        <v>1110</v>
      </c>
      <c r="H882" t="s">
        <v>38</v>
      </c>
      <c r="I882" s="4">
        <v>20280.56847163054</v>
      </c>
      <c r="J882">
        <v>313</v>
      </c>
      <c r="K882" t="s">
        <v>36</v>
      </c>
      <c r="L882" s="6">
        <v>45373</v>
      </c>
      <c r="M882" t="s">
        <v>51</v>
      </c>
      <c r="N882" t="s">
        <v>1746</v>
      </c>
      <c r="O882" t="s">
        <v>114</v>
      </c>
      <c r="P882">
        <v>13</v>
      </c>
      <c r="Q882" t="s">
        <v>48</v>
      </c>
    </row>
    <row r="883" spans="1:17">
      <c r="A883">
        <v>57</v>
      </c>
      <c r="B883" t="s">
        <v>137</v>
      </c>
      <c r="C883" t="s">
        <v>145</v>
      </c>
      <c r="D883" t="s">
        <v>28</v>
      </c>
      <c r="E883" s="6">
        <v>45370</v>
      </c>
      <c r="F883" t="s">
        <v>850</v>
      </c>
      <c r="G883" t="s">
        <v>1643</v>
      </c>
      <c r="H883" t="s">
        <v>39</v>
      </c>
      <c r="I883" s="4">
        <v>28010.43945546149</v>
      </c>
      <c r="J883">
        <v>125</v>
      </c>
      <c r="K883" t="s">
        <v>34</v>
      </c>
      <c r="L883" s="6">
        <v>45388</v>
      </c>
      <c r="M883" t="s">
        <v>52</v>
      </c>
      <c r="N883" t="s">
        <v>1746</v>
      </c>
      <c r="O883" t="s">
        <v>114</v>
      </c>
      <c r="P883">
        <v>18</v>
      </c>
      <c r="Q883" t="s">
        <v>47</v>
      </c>
    </row>
    <row r="884" spans="1:17">
      <c r="A884">
        <v>67</v>
      </c>
      <c r="B884" t="s">
        <v>137</v>
      </c>
      <c r="C884" t="s">
        <v>146</v>
      </c>
      <c r="D884" t="s">
        <v>31</v>
      </c>
      <c r="E884" s="6">
        <v>45365</v>
      </c>
      <c r="F884" t="s">
        <v>414</v>
      </c>
      <c r="G884" t="s">
        <v>1217</v>
      </c>
      <c r="H884" t="s">
        <v>42</v>
      </c>
      <c r="I884" s="4">
        <v>10019.73947693146</v>
      </c>
      <c r="J884">
        <v>421</v>
      </c>
      <c r="K884" t="s">
        <v>34</v>
      </c>
      <c r="L884" s="6">
        <v>45374</v>
      </c>
      <c r="M884" t="s">
        <v>54</v>
      </c>
      <c r="N884" t="s">
        <v>1748</v>
      </c>
      <c r="O884" t="s">
        <v>114</v>
      </c>
      <c r="P884">
        <v>9</v>
      </c>
      <c r="Q884" t="s">
        <v>48</v>
      </c>
    </row>
    <row r="885" spans="1:17">
      <c r="A885">
        <v>40</v>
      </c>
      <c r="B885" t="s">
        <v>138</v>
      </c>
      <c r="C885" t="s">
        <v>145</v>
      </c>
      <c r="D885" t="s">
        <v>28</v>
      </c>
      <c r="E885" s="6">
        <v>45382</v>
      </c>
      <c r="F885" t="s">
        <v>408</v>
      </c>
      <c r="G885" t="s">
        <v>1211</v>
      </c>
      <c r="H885" t="s">
        <v>40</v>
      </c>
      <c r="I885" s="4">
        <v>44774.2815601657</v>
      </c>
      <c r="J885">
        <v>334</v>
      </c>
      <c r="K885" t="s">
        <v>36</v>
      </c>
      <c r="L885" s="6">
        <v>45391</v>
      </c>
      <c r="M885" t="s">
        <v>53</v>
      </c>
      <c r="N885" t="s">
        <v>1747</v>
      </c>
      <c r="O885" t="s">
        <v>114</v>
      </c>
      <c r="P885">
        <v>9</v>
      </c>
      <c r="Q885" t="s">
        <v>46</v>
      </c>
    </row>
    <row r="886" spans="1:17">
      <c r="A886">
        <v>42</v>
      </c>
      <c r="B886" t="s">
        <v>138</v>
      </c>
      <c r="C886" t="s">
        <v>143</v>
      </c>
      <c r="D886" t="s">
        <v>29</v>
      </c>
      <c r="E886" s="6">
        <v>45366</v>
      </c>
      <c r="F886" t="s">
        <v>206</v>
      </c>
      <c r="G886" t="s">
        <v>1012</v>
      </c>
      <c r="H886" t="s">
        <v>38</v>
      </c>
      <c r="I886" s="4">
        <v>8031.512296662963</v>
      </c>
      <c r="J886">
        <v>362</v>
      </c>
      <c r="K886" t="s">
        <v>36</v>
      </c>
      <c r="L886" s="6">
        <v>45375</v>
      </c>
      <c r="M886" t="s">
        <v>52</v>
      </c>
      <c r="N886" t="s">
        <v>1746</v>
      </c>
      <c r="O886" t="s">
        <v>114</v>
      </c>
      <c r="P886">
        <v>9</v>
      </c>
      <c r="Q886" t="s">
        <v>46</v>
      </c>
    </row>
    <row r="887" spans="1:17">
      <c r="A887">
        <v>67</v>
      </c>
      <c r="B887" t="s">
        <v>138</v>
      </c>
      <c r="C887" t="s">
        <v>142</v>
      </c>
      <c r="D887" t="s">
        <v>27</v>
      </c>
      <c r="E887" s="6">
        <v>45354</v>
      </c>
      <c r="F887" t="s">
        <v>704</v>
      </c>
      <c r="G887" t="s">
        <v>1500</v>
      </c>
      <c r="H887" t="s">
        <v>38</v>
      </c>
      <c r="I887" s="4">
        <v>10480.09909862826</v>
      </c>
      <c r="J887">
        <v>439</v>
      </c>
      <c r="K887" t="s">
        <v>36</v>
      </c>
      <c r="L887" s="6">
        <v>45356</v>
      </c>
      <c r="M887" t="s">
        <v>51</v>
      </c>
      <c r="N887" t="s">
        <v>1747</v>
      </c>
      <c r="O887" t="s">
        <v>114</v>
      </c>
      <c r="P887">
        <v>2</v>
      </c>
      <c r="Q887" t="s">
        <v>48</v>
      </c>
    </row>
    <row r="888" spans="1:17">
      <c r="A888">
        <v>44</v>
      </c>
      <c r="B888" t="s">
        <v>138</v>
      </c>
      <c r="C888" t="s">
        <v>143</v>
      </c>
      <c r="D888" t="s">
        <v>27</v>
      </c>
      <c r="E888" s="6">
        <v>45378</v>
      </c>
      <c r="F888" t="s">
        <v>265</v>
      </c>
      <c r="G888" t="s">
        <v>1070</v>
      </c>
      <c r="H888" t="s">
        <v>38</v>
      </c>
      <c r="I888" s="4">
        <v>21288.96523656194</v>
      </c>
      <c r="J888">
        <v>305</v>
      </c>
      <c r="K888" t="s">
        <v>36</v>
      </c>
      <c r="L888" s="6">
        <v>45408</v>
      </c>
      <c r="M888" t="s">
        <v>51</v>
      </c>
      <c r="N888" t="s">
        <v>1748</v>
      </c>
      <c r="O888" t="s">
        <v>114</v>
      </c>
      <c r="P888">
        <v>30</v>
      </c>
      <c r="Q888" t="s">
        <v>46</v>
      </c>
    </row>
    <row r="889" spans="1:17">
      <c r="A889">
        <v>80</v>
      </c>
      <c r="B889" t="s">
        <v>138</v>
      </c>
      <c r="C889" t="s">
        <v>139</v>
      </c>
      <c r="D889" t="s">
        <v>28</v>
      </c>
      <c r="E889" s="6">
        <v>45360</v>
      </c>
      <c r="F889" t="s">
        <v>439</v>
      </c>
      <c r="G889" t="s">
        <v>1242</v>
      </c>
      <c r="H889" t="s">
        <v>42</v>
      </c>
      <c r="I889" s="4">
        <v>28862.86156994978</v>
      </c>
      <c r="J889">
        <v>102</v>
      </c>
      <c r="K889" t="s">
        <v>34</v>
      </c>
      <c r="L889" s="6">
        <v>45386</v>
      </c>
      <c r="M889" t="s">
        <v>54</v>
      </c>
      <c r="N889" t="s">
        <v>1748</v>
      </c>
      <c r="O889" t="s">
        <v>114</v>
      </c>
      <c r="P889">
        <v>26</v>
      </c>
      <c r="Q889" t="s">
        <v>48</v>
      </c>
    </row>
    <row r="890" spans="1:17">
      <c r="A890">
        <v>18</v>
      </c>
      <c r="B890" t="s">
        <v>137</v>
      </c>
      <c r="C890" t="s">
        <v>144</v>
      </c>
      <c r="D890" t="s">
        <v>29</v>
      </c>
      <c r="E890" s="6">
        <v>45366</v>
      </c>
      <c r="F890" t="s">
        <v>474</v>
      </c>
      <c r="G890" t="s">
        <v>1275</v>
      </c>
      <c r="H890" t="s">
        <v>38</v>
      </c>
      <c r="I890" s="4">
        <v>29160.05990814923</v>
      </c>
      <c r="J890">
        <v>271</v>
      </c>
      <c r="K890" t="s">
        <v>34</v>
      </c>
      <c r="L890" s="6">
        <v>45367</v>
      </c>
      <c r="M890" t="s">
        <v>53</v>
      </c>
      <c r="N890" t="s">
        <v>1748</v>
      </c>
      <c r="O890" t="s">
        <v>114</v>
      </c>
      <c r="P890">
        <v>1</v>
      </c>
      <c r="Q890" t="s">
        <v>44</v>
      </c>
    </row>
    <row r="891" spans="1:17">
      <c r="A891">
        <v>37</v>
      </c>
      <c r="B891" t="s">
        <v>138</v>
      </c>
      <c r="C891" t="s">
        <v>144</v>
      </c>
      <c r="D891" t="s">
        <v>30</v>
      </c>
      <c r="E891" s="6">
        <v>45358</v>
      </c>
      <c r="F891" t="s">
        <v>241</v>
      </c>
      <c r="G891" t="s">
        <v>1047</v>
      </c>
      <c r="H891" t="s">
        <v>39</v>
      </c>
      <c r="I891" s="4">
        <v>40075.91086467569</v>
      </c>
      <c r="J891">
        <v>483</v>
      </c>
      <c r="K891" t="s">
        <v>34</v>
      </c>
      <c r="L891" s="6">
        <v>45380</v>
      </c>
      <c r="M891" t="s">
        <v>51</v>
      </c>
      <c r="N891" t="s">
        <v>1747</v>
      </c>
      <c r="O891" t="s">
        <v>114</v>
      </c>
      <c r="P891">
        <v>22</v>
      </c>
      <c r="Q891" t="s">
        <v>46</v>
      </c>
    </row>
    <row r="892" spans="1:17">
      <c r="A892">
        <v>18</v>
      </c>
      <c r="B892" t="s">
        <v>138</v>
      </c>
      <c r="C892" t="s">
        <v>146</v>
      </c>
      <c r="D892" t="s">
        <v>28</v>
      </c>
      <c r="E892" s="6">
        <v>45367</v>
      </c>
      <c r="F892" t="s">
        <v>567</v>
      </c>
      <c r="G892" t="s">
        <v>1365</v>
      </c>
      <c r="H892" t="s">
        <v>42</v>
      </c>
      <c r="I892" s="4">
        <v>42745.13358214236</v>
      </c>
      <c r="J892">
        <v>432</v>
      </c>
      <c r="K892" t="s">
        <v>36</v>
      </c>
      <c r="L892" s="6">
        <v>45394</v>
      </c>
      <c r="M892" t="s">
        <v>51</v>
      </c>
      <c r="N892" t="s">
        <v>1747</v>
      </c>
      <c r="O892" t="s">
        <v>114</v>
      </c>
      <c r="P892">
        <v>27</v>
      </c>
      <c r="Q892" t="s">
        <v>44</v>
      </c>
    </row>
    <row r="893" spans="1:17">
      <c r="A893">
        <v>20</v>
      </c>
      <c r="B893" t="s">
        <v>138</v>
      </c>
      <c r="C893" t="s">
        <v>140</v>
      </c>
      <c r="D893" t="s">
        <v>29</v>
      </c>
      <c r="E893" s="6">
        <v>45364</v>
      </c>
      <c r="F893" t="s">
        <v>302</v>
      </c>
      <c r="G893" t="s">
        <v>1105</v>
      </c>
      <c r="H893" t="s">
        <v>39</v>
      </c>
      <c r="I893" s="4">
        <v>44182.88840231296</v>
      </c>
      <c r="J893">
        <v>139</v>
      </c>
      <c r="K893" t="s">
        <v>35</v>
      </c>
      <c r="L893" s="6">
        <v>45389</v>
      </c>
      <c r="M893" t="s">
        <v>54</v>
      </c>
      <c r="N893" t="s">
        <v>1748</v>
      </c>
      <c r="O893" t="s">
        <v>114</v>
      </c>
      <c r="P893">
        <v>25</v>
      </c>
      <c r="Q893" t="s">
        <v>45</v>
      </c>
    </row>
    <row r="894" spans="1:17">
      <c r="A894">
        <v>79</v>
      </c>
      <c r="B894" t="s">
        <v>138</v>
      </c>
      <c r="C894" t="s">
        <v>140</v>
      </c>
      <c r="D894" t="s">
        <v>28</v>
      </c>
      <c r="E894" s="6">
        <v>45375</v>
      </c>
      <c r="F894" t="s">
        <v>148</v>
      </c>
      <c r="G894" t="s">
        <v>954</v>
      </c>
      <c r="H894" t="s">
        <v>41</v>
      </c>
      <c r="I894" s="4">
        <v>6312.607691018524</v>
      </c>
      <c r="J894">
        <v>226</v>
      </c>
      <c r="K894" t="s">
        <v>36</v>
      </c>
      <c r="L894" s="6">
        <v>45396</v>
      </c>
      <c r="M894" t="s">
        <v>50</v>
      </c>
      <c r="N894" t="s">
        <v>1747</v>
      </c>
      <c r="O894" t="s">
        <v>114</v>
      </c>
      <c r="P894">
        <v>21</v>
      </c>
      <c r="Q894" t="s">
        <v>48</v>
      </c>
    </row>
    <row r="895" spans="1:17">
      <c r="A895">
        <v>28</v>
      </c>
      <c r="B895" t="s">
        <v>137</v>
      </c>
      <c r="C895" t="s">
        <v>145</v>
      </c>
      <c r="D895" t="s">
        <v>28</v>
      </c>
      <c r="E895" s="6">
        <v>45367</v>
      </c>
      <c r="F895" t="s">
        <v>387</v>
      </c>
      <c r="G895" t="s">
        <v>1190</v>
      </c>
      <c r="H895" t="s">
        <v>39</v>
      </c>
      <c r="I895" s="4">
        <v>42570.08781609065</v>
      </c>
      <c r="J895">
        <v>294</v>
      </c>
      <c r="K895" t="s">
        <v>36</v>
      </c>
      <c r="L895" s="6">
        <v>45397</v>
      </c>
      <c r="M895" t="s">
        <v>54</v>
      </c>
      <c r="N895" t="s">
        <v>1748</v>
      </c>
      <c r="O895" t="s">
        <v>114</v>
      </c>
      <c r="P895">
        <v>30</v>
      </c>
      <c r="Q895" t="s">
        <v>45</v>
      </c>
    </row>
    <row r="896" spans="1:17">
      <c r="A896">
        <v>76</v>
      </c>
      <c r="B896" t="s">
        <v>137</v>
      </c>
      <c r="C896" t="s">
        <v>139</v>
      </c>
      <c r="D896" t="s">
        <v>28</v>
      </c>
      <c r="E896" s="6">
        <v>45378</v>
      </c>
      <c r="F896" t="s">
        <v>498</v>
      </c>
      <c r="G896" t="s">
        <v>1299</v>
      </c>
      <c r="H896" t="s">
        <v>41</v>
      </c>
      <c r="I896" s="4">
        <v>29179.9690291326</v>
      </c>
      <c r="J896">
        <v>396</v>
      </c>
      <c r="K896" t="s">
        <v>34</v>
      </c>
      <c r="L896" s="6">
        <v>45407</v>
      </c>
      <c r="M896" t="s">
        <v>51</v>
      </c>
      <c r="N896" t="s">
        <v>1746</v>
      </c>
      <c r="O896" t="s">
        <v>114</v>
      </c>
      <c r="P896">
        <v>29</v>
      </c>
      <c r="Q896" t="s">
        <v>48</v>
      </c>
    </row>
    <row r="897" spans="1:17">
      <c r="A897">
        <v>61</v>
      </c>
      <c r="B897" t="s">
        <v>137</v>
      </c>
      <c r="C897" t="s">
        <v>143</v>
      </c>
      <c r="D897" t="s">
        <v>28</v>
      </c>
      <c r="E897" s="6">
        <v>45373</v>
      </c>
      <c r="F897" t="s">
        <v>532</v>
      </c>
      <c r="G897" t="s">
        <v>1331</v>
      </c>
      <c r="H897" t="s">
        <v>38</v>
      </c>
      <c r="I897" s="4">
        <v>41886.70854232966</v>
      </c>
      <c r="J897">
        <v>279</v>
      </c>
      <c r="K897" t="s">
        <v>34</v>
      </c>
      <c r="L897" s="6">
        <v>45400</v>
      </c>
      <c r="M897" t="s">
        <v>54</v>
      </c>
      <c r="N897" t="s">
        <v>1748</v>
      </c>
      <c r="O897" t="s">
        <v>114</v>
      </c>
      <c r="P897">
        <v>27</v>
      </c>
      <c r="Q897" t="s">
        <v>47</v>
      </c>
    </row>
    <row r="898" spans="1:17">
      <c r="A898">
        <v>28</v>
      </c>
      <c r="B898" t="s">
        <v>138</v>
      </c>
      <c r="C898" t="s">
        <v>143</v>
      </c>
      <c r="D898" t="s">
        <v>29</v>
      </c>
      <c r="E898" s="6">
        <v>45372</v>
      </c>
      <c r="F898" t="s">
        <v>371</v>
      </c>
      <c r="G898" t="s">
        <v>1174</v>
      </c>
      <c r="H898" t="s">
        <v>38</v>
      </c>
      <c r="I898" s="4">
        <v>44983.29990982988</v>
      </c>
      <c r="J898">
        <v>222</v>
      </c>
      <c r="K898" t="s">
        <v>36</v>
      </c>
      <c r="L898" s="6">
        <v>45397</v>
      </c>
      <c r="M898" t="s">
        <v>53</v>
      </c>
      <c r="N898" t="s">
        <v>1748</v>
      </c>
      <c r="O898" t="s">
        <v>114</v>
      </c>
      <c r="P898">
        <v>25</v>
      </c>
      <c r="Q898" t="s">
        <v>45</v>
      </c>
    </row>
    <row r="899" spans="1:17">
      <c r="A899">
        <v>46</v>
      </c>
      <c r="B899" t="s">
        <v>138</v>
      </c>
      <c r="C899" t="s">
        <v>143</v>
      </c>
      <c r="D899" t="s">
        <v>28</v>
      </c>
      <c r="E899" s="6">
        <v>45353</v>
      </c>
      <c r="F899" t="s">
        <v>772</v>
      </c>
      <c r="G899" t="s">
        <v>1565</v>
      </c>
      <c r="H899" t="s">
        <v>39</v>
      </c>
      <c r="I899" s="4">
        <v>39628.10959711019</v>
      </c>
      <c r="J899">
        <v>431</v>
      </c>
      <c r="K899" t="s">
        <v>34</v>
      </c>
      <c r="L899" s="6">
        <v>45368</v>
      </c>
      <c r="M899" t="s">
        <v>52</v>
      </c>
      <c r="N899" t="s">
        <v>1747</v>
      </c>
      <c r="O899" t="s">
        <v>114</v>
      </c>
      <c r="P899">
        <v>15</v>
      </c>
      <c r="Q899" t="s">
        <v>46</v>
      </c>
    </row>
    <row r="900" spans="1:17">
      <c r="A900">
        <v>50</v>
      </c>
      <c r="B900" t="s">
        <v>138</v>
      </c>
      <c r="C900" t="s">
        <v>142</v>
      </c>
      <c r="D900" t="s">
        <v>28</v>
      </c>
      <c r="E900" s="6">
        <v>45362</v>
      </c>
      <c r="F900" t="s">
        <v>870</v>
      </c>
      <c r="G900" t="s">
        <v>1663</v>
      </c>
      <c r="H900" t="s">
        <v>41</v>
      </c>
      <c r="I900" s="4">
        <v>31391.44454560196</v>
      </c>
      <c r="J900">
        <v>420</v>
      </c>
      <c r="K900" t="s">
        <v>36</v>
      </c>
      <c r="L900" s="6">
        <v>45366</v>
      </c>
      <c r="M900" t="s">
        <v>54</v>
      </c>
      <c r="N900" t="s">
        <v>1748</v>
      </c>
      <c r="O900" t="s">
        <v>114</v>
      </c>
      <c r="P900">
        <v>4</v>
      </c>
      <c r="Q900" t="s">
        <v>46</v>
      </c>
    </row>
    <row r="901" spans="1:17">
      <c r="A901">
        <v>50</v>
      </c>
      <c r="B901" t="s">
        <v>138</v>
      </c>
      <c r="C901" t="s">
        <v>145</v>
      </c>
      <c r="D901" t="s">
        <v>31</v>
      </c>
      <c r="E901" s="6">
        <v>45361</v>
      </c>
      <c r="F901" t="s">
        <v>172</v>
      </c>
      <c r="G901" t="s">
        <v>978</v>
      </c>
      <c r="H901" t="s">
        <v>41</v>
      </c>
      <c r="I901" s="4">
        <v>26223.16583478957</v>
      </c>
      <c r="J901">
        <v>122</v>
      </c>
      <c r="K901" t="s">
        <v>34</v>
      </c>
      <c r="L901" s="6">
        <v>45366</v>
      </c>
      <c r="M901" t="s">
        <v>53</v>
      </c>
      <c r="N901" t="s">
        <v>1748</v>
      </c>
      <c r="O901" t="s">
        <v>114</v>
      </c>
      <c r="P901">
        <v>5</v>
      </c>
      <c r="Q901" t="s">
        <v>46</v>
      </c>
    </row>
  </sheetData>
  <autoFilter ref="A1:Q90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5" width="22.7109375" customWidth="1"/>
  </cols>
  <sheetData>
    <row r="1" spans="1:5">
      <c r="A1" s="2" t="s">
        <v>116</v>
      </c>
      <c r="B1" s="2" t="s">
        <v>1749</v>
      </c>
      <c r="C1" s="2" t="s">
        <v>1750</v>
      </c>
      <c r="D1" s="2" t="s">
        <v>1751</v>
      </c>
      <c r="E1" s="2" t="s">
        <v>1752</v>
      </c>
    </row>
    <row r="2" spans="1:5">
      <c r="A2" t="s">
        <v>5</v>
      </c>
      <c r="B2" s="4">
        <f>Summary!B5</f>
        <v>0</v>
      </c>
      <c r="C2" s="4">
        <f>COUNTA(Clean_Data_CurrentMonth!A2:A901)</f>
        <v>0</v>
      </c>
      <c r="D2" s="4">
        <f>ROUND(B2-C2,2)</f>
        <v>0</v>
      </c>
      <c r="E2">
        <f>IF(ABS(D2)&lt;0.01,"OK","CHECK")</f>
        <v>0</v>
      </c>
    </row>
    <row r="3" spans="1:5">
      <c r="A3" t="s">
        <v>6</v>
      </c>
      <c r="B3" s="4">
        <f>Summary!B6</f>
        <v>0</v>
      </c>
      <c r="C3" s="4">
        <f>SUM(Clean_Data_CurrentMonth!I2:I901)</f>
        <v>0</v>
      </c>
      <c r="D3" s="4">
        <f>ROUND(B3-C3,2)</f>
        <v>0</v>
      </c>
      <c r="E3">
        <f>IF(ABS(D3)&lt;0.01,"OK","CHECK")</f>
        <v>0</v>
      </c>
    </row>
    <row r="4" spans="1:5">
      <c r="A4" t="s">
        <v>1753</v>
      </c>
      <c r="B4" s="4">
        <f>Summary!B8</f>
        <v>0</v>
      </c>
      <c r="C4" s="4">
        <f>AVERAGE(Clean_Data_CurrentMonth!P2:P901)</f>
        <v>0</v>
      </c>
      <c r="D4" s="4">
        <f>ROUND(B4-C4,2)</f>
        <v>0</v>
      </c>
      <c r="E4">
        <f>IF(ABS(D4)&lt;0.01,"OK","CHECK")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Medical_Condition</vt:lpstr>
      <vt:lpstr>Admission_Type</vt:lpstr>
      <vt:lpstr>Insurance</vt:lpstr>
      <vt:lpstr>Age_Group</vt:lpstr>
      <vt:lpstr>Medication</vt:lpstr>
      <vt:lpstr>Abnormal_by_Condition</vt:lpstr>
      <vt:lpstr>Monthly_Trend</vt:lpstr>
      <vt:lpstr>Data_Quality</vt:lpstr>
      <vt:lpstr>Clean_Data_CurrentMonth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2026-10-03T04:01:13Z</dcterms:created>
  <dcterms:modified xsi:type="dcterms:W3CDTF">2026-10-03T04:01:13Z</dcterms:modified>
</cp:coreProperties>
</file>